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66925"/>
  <mc:AlternateContent xmlns:mc="http://schemas.openxmlformats.org/markup-compatibility/2006">
    <mc:Choice Requires="x15">
      <x15ac:absPath xmlns:x15ac="http://schemas.microsoft.com/office/spreadsheetml/2010/11/ac" url="C:\Users\OCD CARAGA\Desktop\caraga-supply\public\templates\"/>
    </mc:Choice>
  </mc:AlternateContent>
  <xr:revisionPtr revIDLastSave="0" documentId="13_ncr:1_{1829E789-BF86-470A-8BE3-7DDCBB6B4395}" xr6:coauthVersionLast="47" xr6:coauthVersionMax="47" xr10:uidLastSave="{00000000-0000-0000-0000-000000000000}"/>
  <bookViews>
    <workbookView xWindow="-120" yWindow="-120" windowWidth="29040" windowHeight="15720" firstSheet="7" activeTab="7" xr2:uid="{00000000-000D-0000-FFFF-FFFF00000000}"/>
  </bookViews>
  <sheets>
    <sheet name="mancom meals" sheetId="61" r:id="rId1"/>
    <sheet name="TWG meeting" sheetId="62" r:id="rId2"/>
    <sheet name="agenda folder" sheetId="63" r:id="rId3"/>
    <sheet name="emblem" sheetId="64" r:id="rId4"/>
    <sheet name="red &amp; blue alert meals" sheetId="65" r:id="rId5"/>
    <sheet name="van rental" sheetId="66" r:id="rId6"/>
    <sheet name="forwarding services" sheetId="67" r:id="rId7"/>
    <sheet name="template" sheetId="168" r:id="rId8"/>
  </sheets>
  <definedNames>
    <definedName name="_xlnm.Print_Area" localSheetId="2">'agenda folder'!$B$1:$M$54</definedName>
    <definedName name="_xlnm.Print_Area" localSheetId="3">emblem!$B$1:$M$52</definedName>
    <definedName name="_xlnm.Print_Area" localSheetId="6">'forwarding services'!$B$1:$M$70</definedName>
    <definedName name="_xlnm.Print_Area" localSheetId="0">'mancom meals'!$B$1:$M$118</definedName>
    <definedName name="_xlnm.Print_Area" localSheetId="4">'red &amp; blue alert meals'!$B$1:$M$63</definedName>
    <definedName name="_xlnm.Print_Area" localSheetId="7">template!$B$1:$M$56</definedName>
    <definedName name="_xlnm.Print_Area" localSheetId="1">'TWG meeting'!$B$1:$M$76</definedName>
    <definedName name="_xlnm.Print_Area" localSheetId="5">'van rental'!$B$1:$M$64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64" l="1"/>
  <c r="M37" i="64" s="1"/>
  <c r="K36" i="65"/>
  <c r="M36" i="65" s="1"/>
  <c r="K48" i="62" l="1"/>
  <c r="M48" i="62" s="1"/>
  <c r="K47" i="62"/>
  <c r="M47" i="62" s="1"/>
  <c r="K46" i="62"/>
  <c r="M46" i="62" s="1"/>
  <c r="K41" i="62"/>
  <c r="M41" i="62" s="1"/>
  <c r="K40" i="62"/>
  <c r="M40" i="62" s="1"/>
  <c r="K39" i="62"/>
  <c r="M39" i="62" s="1"/>
  <c r="K34" i="62"/>
  <c r="M34" i="62" s="1"/>
  <c r="K33" i="62"/>
  <c r="M33" i="62" s="1"/>
  <c r="K32" i="62"/>
  <c r="M32" i="62" s="1"/>
  <c r="K90" i="61"/>
  <c r="M90" i="61" s="1"/>
  <c r="K89" i="61"/>
  <c r="M89" i="61" s="1"/>
  <c r="K88" i="61"/>
  <c r="M88" i="61" s="1"/>
  <c r="K83" i="61"/>
  <c r="M83" i="61" s="1"/>
  <c r="K82" i="61"/>
  <c r="M82" i="61" s="1"/>
  <c r="K81" i="61"/>
  <c r="M81" i="61" s="1"/>
  <c r="K76" i="61"/>
  <c r="M76" i="61" s="1"/>
  <c r="K75" i="61"/>
  <c r="M75" i="61" s="1"/>
  <c r="K74" i="61"/>
  <c r="M74" i="61" s="1"/>
  <c r="K69" i="61"/>
  <c r="M69" i="61" s="1"/>
  <c r="K68" i="61"/>
  <c r="M68" i="61" s="1"/>
  <c r="K67" i="61"/>
  <c r="M67" i="61" s="1"/>
  <c r="M64" i="61" s="1"/>
  <c r="K62" i="61"/>
  <c r="M62" i="61" s="1"/>
  <c r="K61" i="61"/>
  <c r="M61" i="61" s="1"/>
  <c r="K60" i="61"/>
  <c r="M60" i="61" s="1"/>
  <c r="M57" i="61" s="1"/>
  <c r="K55" i="61"/>
  <c r="M55" i="61" s="1"/>
  <c r="K54" i="61"/>
  <c r="M54" i="61" s="1"/>
  <c r="K53" i="61"/>
  <c r="M53" i="61" s="1"/>
  <c r="K48" i="61"/>
  <c r="M48" i="61" s="1"/>
  <c r="K47" i="61"/>
  <c r="M47" i="61" s="1"/>
  <c r="K46" i="61"/>
  <c r="M46" i="61" s="1"/>
  <c r="K41" i="61"/>
  <c r="M41" i="61" s="1"/>
  <c r="K40" i="61"/>
  <c r="M40" i="61" s="1"/>
  <c r="K39" i="61"/>
  <c r="M39" i="61" s="1"/>
  <c r="M36" i="61" s="1"/>
  <c r="K34" i="61"/>
  <c r="M34" i="61" s="1"/>
  <c r="K33" i="61"/>
  <c r="M33" i="61" s="1"/>
  <c r="K32" i="61"/>
  <c r="M32" i="61" s="1"/>
  <c r="M29" i="61" s="1"/>
  <c r="M36" i="62" l="1"/>
  <c r="M29" i="62"/>
  <c r="M43" i="62"/>
  <c r="M43" i="61"/>
  <c r="M71" i="61"/>
  <c r="M85" i="61"/>
  <c r="M78" i="61"/>
  <c r="M50" i="61"/>
  <c r="K37" i="67"/>
  <c r="M37" i="67" s="1"/>
  <c r="K27" i="67"/>
  <c r="M27" i="67" s="1"/>
  <c r="K30" i="66"/>
  <c r="K27" i="65"/>
  <c r="M27" i="65" s="1"/>
  <c r="K28" i="65"/>
  <c r="M28" i="65" s="1"/>
  <c r="K29" i="65"/>
  <c r="M29" i="65" s="1"/>
  <c r="K37" i="65"/>
  <c r="M37" i="65" s="1"/>
  <c r="K35" i="65"/>
  <c r="M35" i="65" s="1"/>
  <c r="K34" i="65"/>
  <c r="M34" i="65" s="1"/>
  <c r="M31" i="65" s="1"/>
  <c r="K26" i="65"/>
  <c r="M26" i="65" s="1"/>
  <c r="M23" i="63"/>
  <c r="M27" i="63"/>
  <c r="M25" i="63"/>
  <c r="M21" i="63"/>
  <c r="K27" i="62"/>
  <c r="M27" i="62" s="1"/>
  <c r="K26" i="62"/>
  <c r="M26" i="62" s="1"/>
  <c r="K25" i="62"/>
  <c r="M25" i="62" s="1"/>
  <c r="K27" i="61"/>
  <c r="M27" i="61" s="1"/>
  <c r="K26" i="61"/>
  <c r="M26" i="61" s="1"/>
  <c r="K25" i="61"/>
  <c r="M25" i="61" s="1"/>
  <c r="M22" i="61" s="1"/>
  <c r="M30" i="66" l="1"/>
  <c r="M49" i="66" s="1"/>
  <c r="M55" i="67"/>
  <c r="M103" i="61"/>
  <c r="M22" i="65"/>
  <c r="M48" i="65" s="1"/>
  <c r="M22" i="62"/>
  <c r="M61" i="62"/>
  <c r="M39" i="63"/>
</calcChain>
</file>

<file path=xl/sharedStrings.xml><?xml version="1.0" encoding="utf-8"?>
<sst xmlns="http://schemas.openxmlformats.org/spreadsheetml/2006/main" count="880" uniqueCount="269">
  <si>
    <t>OFFICE OF CIVIL DEFENSE</t>
  </si>
  <si>
    <t>Date</t>
  </si>
  <si>
    <t>Address</t>
  </si>
  <si>
    <t>Supplier</t>
  </si>
  <si>
    <t>Mode of Procurement</t>
  </si>
  <si>
    <t>TIN</t>
  </si>
  <si>
    <t>E-mail Address</t>
  </si>
  <si>
    <t>Gentlemen:</t>
  </si>
  <si>
    <t xml:space="preserve">              Please provide this office the following services subject to the terms and conditions contained herein:</t>
  </si>
  <si>
    <t>Location of Service:</t>
  </si>
  <si>
    <t>Delivery Term:</t>
  </si>
  <si>
    <t>Payment Term:</t>
  </si>
  <si>
    <t>LOT NO.</t>
  </si>
  <si>
    <t>UNIT</t>
  </si>
  <si>
    <t>ITEM/DESCRIPTION</t>
  </si>
  <si>
    <t>QTY</t>
  </si>
  <si>
    <t>UNIT COST</t>
  </si>
  <si>
    <t>AMOUNT</t>
  </si>
  <si>
    <t xml:space="preserve">        In case of failure to make the full delivery within the time specified above, a penalty of one-tenth (1/10) of one (1) percent for everyday of delay shall</t>
  </si>
  <si>
    <t>be imposed.</t>
  </si>
  <si>
    <t>TOTAL COST</t>
  </si>
  <si>
    <t>Signature over printed name of Supplier</t>
  </si>
  <si>
    <t>Conforme:</t>
  </si>
  <si>
    <t>Very truly yours,</t>
  </si>
  <si>
    <t>Funds Available:</t>
  </si>
  <si>
    <t>OBR No. :</t>
  </si>
  <si>
    <t>Amount   :</t>
  </si>
  <si>
    <t>Purchase Order</t>
  </si>
  <si>
    <t>Send Bill Policy</t>
  </si>
  <si>
    <t>No. of Pax</t>
  </si>
  <si>
    <t>Menu</t>
  </si>
  <si>
    <t>Lunch</t>
  </si>
  <si>
    <t>*** nothing follows ***</t>
  </si>
  <si>
    <t>Serving Arrangement</t>
  </si>
  <si>
    <t>Meal / Snack</t>
  </si>
  <si>
    <t>pax</t>
  </si>
  <si>
    <t xml:space="preserve"> </t>
  </si>
  <si>
    <t>Meals Requirement:</t>
  </si>
  <si>
    <t>Service provider must:</t>
  </si>
  <si>
    <t>Payment:</t>
  </si>
  <si>
    <t>Pick-up/Drop-off and STANDBY</t>
  </si>
  <si>
    <t>Pick-up Point</t>
  </si>
  <si>
    <t>Drop-off Point</t>
  </si>
  <si>
    <t>Section 53.9 (Small Value Procurement)</t>
  </si>
  <si>
    <t>VEHICLE REQUIREMENTS:</t>
  </si>
  <si>
    <t>SERVICE REQUIREMENTS:</t>
  </si>
  <si>
    <t>Time</t>
  </si>
  <si>
    <t>No. of Vehicle/s</t>
  </si>
  <si>
    <t>TBD</t>
  </si>
  <si>
    <r>
      <t>·</t>
    </r>
    <r>
      <rPr>
        <sz val="14"/>
        <color rgb="FF000000"/>
        <rFont val="Times New Roman"/>
        <family val="1"/>
      </rPr>
      <t xml:space="preserve">         </t>
    </r>
    <r>
      <rPr>
        <b/>
        <sz val="14"/>
        <color rgb="FF000000"/>
        <rFont val="Arial"/>
        <family val="2"/>
      </rPr>
      <t xml:space="preserve">Type of Vehicle: </t>
    </r>
    <r>
      <rPr>
        <sz val="14"/>
        <color rgb="FF000000"/>
        <rFont val="Arial"/>
        <family val="2"/>
      </rPr>
      <t>Passenger Van</t>
    </r>
  </si>
  <si>
    <r>
      <t>·</t>
    </r>
    <r>
      <rPr>
        <sz val="14"/>
        <color rgb="FF000000"/>
        <rFont val="Times New Roman"/>
        <family val="1"/>
      </rPr>
      <t xml:space="preserve">         </t>
    </r>
    <r>
      <rPr>
        <b/>
        <sz val="14"/>
        <color rgb="FF000000"/>
        <rFont val="Arial"/>
        <family val="2"/>
      </rPr>
      <t xml:space="preserve">Capacity: </t>
    </r>
    <r>
      <rPr>
        <sz val="14"/>
        <color rgb="FF000000"/>
        <rFont val="Arial"/>
        <family val="2"/>
      </rPr>
      <t>Maximum of 10 (ten) passengers</t>
    </r>
  </si>
  <si>
    <r>
      <t>·</t>
    </r>
    <r>
      <rPr>
        <sz val="14"/>
        <color rgb="FF000000"/>
        <rFont val="Times New Roman"/>
        <family val="1"/>
      </rPr>
      <t xml:space="preserve">         </t>
    </r>
    <r>
      <rPr>
        <sz val="14"/>
        <color rgb="FF000000"/>
        <rFont val="Arial"/>
        <family val="2"/>
      </rPr>
      <t>Vehicles shall be on standby at the place of engagement for any services besides the routine pick-up and drop-off.</t>
    </r>
  </si>
  <si>
    <r>
      <t>·</t>
    </r>
    <r>
      <rPr>
        <sz val="14"/>
        <color rgb="FF000000"/>
        <rFont val="Times New Roman"/>
        <family val="1"/>
      </rPr>
      <t xml:space="preserve">         </t>
    </r>
    <r>
      <rPr>
        <sz val="14"/>
        <color rgb="FF000000"/>
        <rFont val="Arial"/>
        <family val="2"/>
      </rPr>
      <t>Conduct routine vehicle check-up prior to usage (BLOWBAG)</t>
    </r>
  </si>
  <si>
    <r>
      <t>·</t>
    </r>
    <r>
      <rPr>
        <sz val="14"/>
        <color rgb="FF000000"/>
        <rFont val="Times New Roman"/>
        <family val="1"/>
      </rPr>
      <t xml:space="preserve">         </t>
    </r>
    <r>
      <rPr>
        <sz val="14"/>
        <color rgb="FF000000"/>
        <rFont val="Arial"/>
        <family val="2"/>
      </rPr>
      <t>Pay for toll and parking fees as may be necessary</t>
    </r>
  </si>
  <si>
    <r>
      <t>·</t>
    </r>
    <r>
      <rPr>
        <sz val="14"/>
        <color rgb="FF000000"/>
        <rFont val="Times New Roman"/>
        <family val="1"/>
      </rPr>
      <t xml:space="preserve">         </t>
    </r>
    <r>
      <rPr>
        <sz val="14"/>
        <color rgb="FF000000"/>
        <rFont val="Arial"/>
        <family val="2"/>
      </rPr>
      <t>Provide for fuel, oil and lubricants for the vehicle/s</t>
    </r>
  </si>
  <si>
    <r>
      <t>·</t>
    </r>
    <r>
      <rPr>
        <sz val="14"/>
        <color rgb="FF000000"/>
        <rFont val="Times New Roman"/>
        <family val="1"/>
      </rPr>
      <t xml:space="preserve">         </t>
    </r>
    <r>
      <rPr>
        <sz val="14"/>
        <color rgb="FF000000"/>
        <rFont val="Arial"/>
        <family val="2"/>
      </rPr>
      <t>Provide professional and courteous driver/s for the vehicle/s</t>
    </r>
  </si>
  <si>
    <r>
      <t>·</t>
    </r>
    <r>
      <rPr>
        <sz val="14"/>
        <color rgb="FF000000"/>
        <rFont val="Times New Roman"/>
        <family val="1"/>
      </rPr>
      <t xml:space="preserve">         </t>
    </r>
    <r>
      <rPr>
        <sz val="14"/>
        <color rgb="FF000000"/>
        <rFont val="Arial"/>
        <family val="2"/>
      </rPr>
      <t>Provide food and accommodation for the driver/s as necessary</t>
    </r>
  </si>
  <si>
    <r>
      <t>·</t>
    </r>
    <r>
      <rPr>
        <sz val="14"/>
        <color rgb="FF000000"/>
        <rFont val="Times New Roman"/>
        <family val="1"/>
      </rPr>
      <t xml:space="preserve">         </t>
    </r>
    <r>
      <rPr>
        <b/>
        <sz val="14"/>
        <color rgb="FF000000"/>
        <rFont val="Arial"/>
        <family val="2"/>
      </rPr>
      <t>Cover all expenses for emergency repairs/ check-up during the period covered</t>
    </r>
  </si>
  <si>
    <r>
      <t>·</t>
    </r>
    <r>
      <rPr>
        <sz val="14"/>
        <color rgb="FF000000"/>
        <rFont val="Times New Roman"/>
        <family val="1"/>
      </rPr>
      <t xml:space="preserve">         </t>
    </r>
    <r>
      <rPr>
        <sz val="14"/>
        <color rgb="FF000000"/>
        <rFont val="Arial"/>
        <family val="2"/>
      </rPr>
      <t xml:space="preserve">Must accept </t>
    </r>
    <r>
      <rPr>
        <b/>
        <sz val="14"/>
        <color rgb="FF000000"/>
        <rFont val="Arial"/>
        <family val="2"/>
      </rPr>
      <t xml:space="preserve">SEND BILL </t>
    </r>
    <r>
      <rPr>
        <sz val="14"/>
        <color rgb="FF000000"/>
        <rFont val="Arial"/>
        <family val="2"/>
      </rPr>
      <t>policy as payment for services.</t>
    </r>
  </si>
  <si>
    <r>
      <t>·</t>
    </r>
    <r>
      <rPr>
        <sz val="14"/>
        <color rgb="FF000000"/>
        <rFont val="Times New Roman"/>
        <family val="1"/>
      </rPr>
      <t xml:space="preserve">         </t>
    </r>
    <r>
      <rPr>
        <sz val="14"/>
        <color rgb="FF000000"/>
        <rFont val="Arial"/>
        <family val="2"/>
      </rPr>
      <t>Quoted price must be inclusive of all taxes.</t>
    </r>
  </si>
  <si>
    <t>van</t>
  </si>
  <si>
    <r>
      <t>·</t>
    </r>
    <r>
      <rPr>
        <sz val="14"/>
        <color rgb="FF000000"/>
        <rFont val="Times New Roman"/>
        <family val="1"/>
      </rPr>
      <t xml:space="preserve">         </t>
    </r>
    <r>
      <rPr>
        <sz val="14"/>
        <color rgb="FF000000"/>
        <rFont val="Arial"/>
        <family val="2"/>
      </rPr>
      <t>Replace vehicle within one hour in case of breakdown</t>
    </r>
  </si>
  <si>
    <r>
      <t>·</t>
    </r>
    <r>
      <rPr>
        <sz val="14"/>
        <color rgb="FF000000"/>
        <rFont val="Times New Roman"/>
        <family val="1"/>
      </rPr>
      <t xml:space="preserve">         </t>
    </r>
    <r>
      <rPr>
        <sz val="14"/>
        <color rgb="FF000000"/>
        <rFont val="Arial"/>
        <family val="2"/>
      </rPr>
      <t>Must be at least 2017 model</t>
    </r>
  </si>
  <si>
    <t>Packed</t>
  </si>
  <si>
    <t>Choice of pasta, pastry/ sandwich with one beverage</t>
  </si>
  <si>
    <t>Buffet</t>
  </si>
  <si>
    <t xml:space="preserve">  </t>
  </si>
  <si>
    <t>DADA TRANSPORT SERVICE</t>
  </si>
  <si>
    <t>Brgy. 7, Cabiltes St., Cabadbaran City</t>
  </si>
  <si>
    <t>dadatransportservice@yahoo.com/09465838841</t>
  </si>
  <si>
    <t>Camp Romualdo C Rubi, Bancasi, Butuan City</t>
  </si>
  <si>
    <t>OCD Caraga, Camp Romualdo C Rubi, Bancasi, Butuan City</t>
  </si>
  <si>
    <t>pc</t>
  </si>
  <si>
    <t>MARIE LYNN B. TADLE</t>
  </si>
  <si>
    <t>AM Snacks</t>
  </si>
  <si>
    <t>PM Snacks</t>
  </si>
  <si>
    <t>1.Quoted price must be inclusive of all government taxes;</t>
  </si>
  <si>
    <t>2. Delivery must be free of charge; and</t>
  </si>
  <si>
    <t>3. The Procuring Entity reserves the right to terminate the contract in case of poor performance, or in the event that the need for such service becomes unnecessary</t>
  </si>
  <si>
    <t xml:space="preserve">Requirements: </t>
  </si>
  <si>
    <t>E-mail Address/ Contact Number</t>
  </si>
  <si>
    <t>J.C. Aquino Avenue, Butuan City</t>
  </si>
  <si>
    <t>General Requirement:</t>
  </si>
  <si>
    <t>Plated</t>
  </si>
  <si>
    <t xml:space="preserve"> Other requirements</t>
  </si>
  <si>
    <t>lot</t>
  </si>
  <si>
    <t>SMYLES SIGNAGES MAKING SERVICES</t>
  </si>
  <si>
    <t>unit</t>
  </si>
  <si>
    <t xml:space="preserve">1.Quoted price must be inclusive of all government taxes;   </t>
  </si>
  <si>
    <t xml:space="preserve">2. Delivery must be free of charge; and  </t>
  </si>
  <si>
    <t>3. The Procuring Entity reserves the right to terminate the contract in case of poor performance, or in the event that the need for such service becomes unnecessary.</t>
  </si>
  <si>
    <t>Officer-In-Charge</t>
  </si>
  <si>
    <t>424-785-098-000</t>
  </si>
  <si>
    <t>LORENE S. CATEDRAL</t>
  </si>
  <si>
    <r>
      <t xml:space="preserve">Must accept </t>
    </r>
    <r>
      <rPr>
        <b/>
        <sz val="16"/>
        <color rgb="FF000000"/>
        <rFont val="Arial"/>
        <family val="2"/>
      </rPr>
      <t>SEND BILL</t>
    </r>
    <r>
      <rPr>
        <sz val="16"/>
        <color rgb="FF000000"/>
        <rFont val="Arial"/>
        <family val="2"/>
      </rPr>
      <t xml:space="preserve"> policy as payment for services</t>
    </r>
  </si>
  <si>
    <t xml:space="preserve">AM </t>
  </si>
  <si>
    <t>04:00AM</t>
  </si>
  <si>
    <r>
      <rPr>
        <b/>
        <sz val="14"/>
        <color rgb="FF000000"/>
        <rFont val="Calibri "/>
      </rPr>
      <t>·        </t>
    </r>
    <r>
      <rPr>
        <sz val="14"/>
        <color rgb="FF000000"/>
        <rFont val="Calibri "/>
      </rPr>
      <t xml:space="preserve">All-in expenses RORO, PPA fees and other necessary incidental expenses   </t>
    </r>
  </si>
  <si>
    <t>FAS TRUCKING AND FORWARDING SERVICES</t>
  </si>
  <si>
    <t>Purok 5, Doonga, Butuan City</t>
  </si>
  <si>
    <t>leverage_2006@yahoo.com.ph</t>
  </si>
  <si>
    <t>138-103-242-000</t>
  </si>
  <si>
    <t>FORWARDING SERVICES</t>
  </si>
  <si>
    <r>
      <t>·</t>
    </r>
    <r>
      <rPr>
        <sz val="14"/>
        <color rgb="FF000000"/>
        <rFont val="Times New Roman"/>
        <family val="1"/>
      </rPr>
      <t xml:space="preserve">         </t>
    </r>
    <r>
      <rPr>
        <sz val="14"/>
        <color rgb="FF000000"/>
        <rFont val="Arial"/>
        <family val="2"/>
      </rPr>
      <t>Cargo capacity: Can carry load up to 15 tons</t>
    </r>
  </si>
  <si>
    <r>
      <t>·</t>
    </r>
    <r>
      <rPr>
        <sz val="14"/>
        <color rgb="FF000000"/>
        <rFont val="Times New Roman"/>
        <family val="1"/>
      </rPr>
      <t xml:space="preserve">         </t>
    </r>
    <r>
      <rPr>
        <sz val="14"/>
        <color rgb="FF000000"/>
        <rFont val="Arial"/>
        <family val="2"/>
      </rPr>
      <t>Volume capacity: 31 cbm</t>
    </r>
  </si>
  <si>
    <r>
      <t>·</t>
    </r>
    <r>
      <rPr>
        <sz val="14"/>
        <color rgb="FF000000"/>
        <rFont val="Times New Roman"/>
        <family val="1"/>
      </rPr>
      <t xml:space="preserve">         </t>
    </r>
    <r>
      <rPr>
        <sz val="14"/>
        <color rgb="FF000000"/>
        <rFont val="Arial"/>
        <family val="2"/>
      </rPr>
      <t>Truck type: 10-wheeler</t>
    </r>
  </si>
  <si>
    <t>Upon receipt of the trip details from the end-user, transport provider must agree to undertake door-to-door delivery of cargo from OCD Warehouse and/or designated warehouse</t>
  </si>
  <si>
    <t>Cost-inclusive of POL provision, toll fees, and incidental fees that might be incurred by the transport provider</t>
  </si>
  <si>
    <t>Meal allowances and incidental fees of drivers and helpers will be covered by the transport provider</t>
  </si>
  <si>
    <t>Liquidated damages will apply for non-compliance of terms</t>
  </si>
  <si>
    <t>Provision of Meals and Snacks for the Monthly Regional Management Committee Meetings (10 Lots)</t>
  </si>
  <si>
    <t>Within January-December 2025 (upon approval of APP)
Exact date TBD (Subject to change upon confirmation of both parties)</t>
  </si>
  <si>
    <t>Send Bill Policy (Progressive Billing)</t>
  </si>
  <si>
    <r>
      <t>Date of Event:</t>
    </r>
    <r>
      <rPr>
        <sz val="16"/>
        <color rgb="FF000000"/>
        <rFont val="Arial"/>
        <family val="2"/>
      </rPr>
      <t xml:space="preserve"> Within January-December 2025 (upon approval of APP)
Exact date TBD (Subject to change upon confirmation of both parties)</t>
    </r>
  </si>
  <si>
    <t>Lot 1: Regional Management Committee Meeting for March 2025</t>
  </si>
  <si>
    <t>1 Soup
2 Main Dish (choice of pork/chicken/fish or beef)
1 Side Dish (vegetable)
1 Dessert
1 Beverage
Rice</t>
  </si>
  <si>
    <t>Lot 2: Regional Management Committee Meeting for April 2025</t>
  </si>
  <si>
    <t>Lot 3: Regional Management Committee Meeting for May 2025</t>
  </si>
  <si>
    <t>Lot 4: Regional Management Committee Meeting for June 2025</t>
  </si>
  <si>
    <t>Lot 5: Regional Management Committee Meeting for July 2025</t>
  </si>
  <si>
    <t>Lot 6: Regional Management Committee Meeting for August 2025</t>
  </si>
  <si>
    <t>Lot 7: Regional Management Committee Meeting for September 2025</t>
  </si>
  <si>
    <t>Lot 8: Regional Management Committee Meeting for October 2025</t>
  </si>
  <si>
    <t>Lot 9: Regional Management Committee Meeting for November 2025</t>
  </si>
  <si>
    <t>Lot 10: Regional Management Committee Meeting for December 2025</t>
  </si>
  <si>
    <t>2025-02-01</t>
  </si>
  <si>
    <t>Provision of Meals and Snacks for the Quarterly RDRRMC-TWG Meetings (4 lots)</t>
  </si>
  <si>
    <t>2025-02-02</t>
  </si>
  <si>
    <t>Lot 1: March 14, 2025
Lot 2: June 03, 2025
Lot 3: August 28, 2025
Lot 4: October 29, 2025</t>
  </si>
  <si>
    <r>
      <t>Date of Event:</t>
    </r>
    <r>
      <rPr>
        <sz val="16"/>
        <color rgb="FF000000"/>
        <rFont val="Arial"/>
        <family val="2"/>
      </rPr>
      <t xml:space="preserve"> Lot 1: March 14, 2025
Lot 2: June 03, 2025
Lot 3: August 28, 2025
Lot 4: October 29, 2025</t>
    </r>
    <r>
      <rPr>
        <b/>
        <sz val="16"/>
        <color rgb="FF000000"/>
        <rFont val="Arial"/>
        <family val="2"/>
      </rPr>
      <t xml:space="preserve">
</t>
    </r>
    <r>
      <rPr>
        <b/>
        <i/>
        <sz val="16"/>
        <color rgb="FF000000"/>
        <rFont val="Arial"/>
        <family val="2"/>
      </rPr>
      <t>Note: Subject to change upon confirmation of both parties.</t>
    </r>
  </si>
  <si>
    <t>Lot 1: Provision of Meal and Snacks for the First RDRRMC-TWG Meeting</t>
  </si>
  <si>
    <t>Free flowing coffee</t>
  </si>
  <si>
    <t>Lot 2: Provision of Meal and Snacks for the Second RDRRMC-TWG Meeting</t>
  </si>
  <si>
    <t>Lot 3: Provision of Meal and Snacks for the Third RDRRMC-TWG Meeting</t>
  </si>
  <si>
    <t>Lot 4: Provision of Meal and Snacks for the Fourth RDRRMC-TWG Meeting</t>
  </si>
  <si>
    <t>2025-02-03</t>
  </si>
  <si>
    <t>Printing of Agenda Folders for the Quarterly RDRRM Full Council Meetings (4 Lots)</t>
  </si>
  <si>
    <t>Lot 1: March 21, 2025
Lot 2: June 01, 2025
Lot 3: August 19, 2025
Lot 4: November 27, 2025</t>
  </si>
  <si>
    <t xml:space="preserve">Lot 1: Printing of Agenda Folders for the First Quarter RDRRM Full Council Meeting </t>
  </si>
  <si>
    <t xml:space="preserve">Lot 2: Printing of Agenda Folders for the Second Quarter RDRRM Full Council Meeting </t>
  </si>
  <si>
    <t xml:space="preserve">Lot 3: Printing of Agenda Folders for the Third Quarter RDRRM Full Council Meeting </t>
  </si>
  <si>
    <t xml:space="preserve">Lot 4: Printing of Agenda Folders for the Fourth Quarter RDRRM Full Council Meeting </t>
  </si>
  <si>
    <t>Chargeability: DRRM Fund, APB 2025 (GAA)</t>
  </si>
  <si>
    <t>Procurement of Various Materials (Flags, Logos, Emblems) for the Quarterly RDRRM Full Council Meetings</t>
  </si>
  <si>
    <t>2025-02-04</t>
  </si>
  <si>
    <t>March 21, 2025</t>
  </si>
  <si>
    <t>1 RDRRMC Flag
1 Philippine Flag
Acrylic/Stainless Logo/Emblem
1 RDRRMC Logo
1 Gawad KALASAG Logo</t>
  </si>
  <si>
    <t>2. At least one (1) year from the final date of acceptance by the Technical Inspection and Acceptance Committee (TIAC) for parts and services</t>
  </si>
  <si>
    <t>1. Within seven (7) days outright service warranty; and</t>
  </si>
  <si>
    <t xml:space="preserve">Other Requirements: </t>
  </si>
  <si>
    <t>Provision of Meals and Snacks for the Activation of Operations Center to Blue and Red Alert Status (2 Lots)</t>
  </si>
  <si>
    <t>Lot 1: Provision of Meals and Snacks for the Activation of Operations Center (Support to Duty Personnel)</t>
  </si>
  <si>
    <r>
      <t xml:space="preserve">1 </t>
    </r>
    <r>
      <rPr>
        <b/>
        <sz val="16"/>
        <color theme="1"/>
        <rFont val="Arial"/>
        <family val="2"/>
      </rPr>
      <t>Filipino breakfast dish</t>
    </r>
    <r>
      <rPr>
        <sz val="16"/>
        <color theme="1"/>
        <rFont val="Arial"/>
        <family val="2"/>
      </rPr>
      <t xml:space="preserve">
(Choice of Corned Beef, Daing na Bangus, Dried Fish, Longganisa, Tocino)
1 </t>
    </r>
    <r>
      <rPr>
        <b/>
        <sz val="16"/>
        <color theme="1"/>
        <rFont val="Arial"/>
        <family val="2"/>
      </rPr>
      <t>egg (Boiled/ Scrambled or Sunny-side up)</t>
    </r>
    <r>
      <rPr>
        <sz val="16"/>
        <color theme="1"/>
        <rFont val="Arial"/>
        <family val="2"/>
      </rPr>
      <t xml:space="preserve">
</t>
    </r>
    <r>
      <rPr>
        <b/>
        <sz val="16"/>
        <color theme="1"/>
        <rFont val="Arial"/>
        <family val="2"/>
      </rPr>
      <t>Fruits in season
Rice
Hot/Cold Beverage</t>
    </r>
  </si>
  <si>
    <r>
      <t xml:space="preserve">1 </t>
    </r>
    <r>
      <rPr>
        <b/>
        <sz val="16"/>
        <color theme="1"/>
        <rFont val="Arial"/>
        <family val="2"/>
      </rPr>
      <t xml:space="preserve">Main Dish </t>
    </r>
    <r>
      <rPr>
        <sz val="16"/>
        <color theme="1"/>
        <rFont val="Arial"/>
        <family val="2"/>
      </rPr>
      <t xml:space="preserve">(choice of pork/chicken/fish or beef)
1 </t>
    </r>
    <r>
      <rPr>
        <b/>
        <sz val="16"/>
        <color theme="1"/>
        <rFont val="Arial"/>
        <family val="2"/>
      </rPr>
      <t>Side Dish (</t>
    </r>
    <r>
      <rPr>
        <sz val="16"/>
        <color theme="1"/>
        <rFont val="Arial"/>
        <family val="2"/>
      </rPr>
      <t xml:space="preserve">vegetable)
1 </t>
    </r>
    <r>
      <rPr>
        <b/>
        <sz val="16"/>
        <color theme="1"/>
        <rFont val="Arial"/>
        <family val="2"/>
      </rPr>
      <t>Dessert</t>
    </r>
    <r>
      <rPr>
        <sz val="16"/>
        <color theme="1"/>
        <rFont val="Arial"/>
        <family val="2"/>
      </rPr>
      <t xml:space="preserve">
1 </t>
    </r>
    <r>
      <rPr>
        <b/>
        <sz val="16"/>
        <color theme="1"/>
        <rFont val="Arial"/>
        <family val="2"/>
      </rPr>
      <t>Beverage</t>
    </r>
    <r>
      <rPr>
        <sz val="16"/>
        <color theme="1"/>
        <rFont val="Arial"/>
        <family val="2"/>
      </rPr>
      <t xml:space="preserve">
</t>
    </r>
    <r>
      <rPr>
        <b/>
        <sz val="16"/>
        <color theme="1"/>
        <rFont val="Arial"/>
        <family val="2"/>
      </rPr>
      <t>Rice</t>
    </r>
  </si>
  <si>
    <t>Choice of pasta, noodles, pastry/sandwich or kakanin with one beverage</t>
  </si>
  <si>
    <t>Breakfast
(7 days)</t>
  </si>
  <si>
    <t>Lunch
(7 days)</t>
  </si>
  <si>
    <t>PM Snacks
(7 days)</t>
  </si>
  <si>
    <t>Dinner
(7 days)</t>
  </si>
  <si>
    <t>Lot 2: Provision of Meals and Snacks for the Activation of Operations Center for Special Events</t>
  </si>
  <si>
    <t>Lunch
(2 days)</t>
  </si>
  <si>
    <t>Dinner
(2 days)</t>
  </si>
  <si>
    <t>Breakfast
(2 days)</t>
  </si>
  <si>
    <t>2025-02-05</t>
  </si>
  <si>
    <t>Provision of Transportation Services for Disaster Monitoring and Disaster Response Activities</t>
  </si>
  <si>
    <r>
      <t>·</t>
    </r>
    <r>
      <rPr>
        <sz val="14"/>
        <color rgb="FF000000"/>
        <rFont val="Times New Roman"/>
        <family val="1"/>
      </rPr>
      <t xml:space="preserve">         </t>
    </r>
    <r>
      <rPr>
        <b/>
        <sz val="14"/>
        <color rgb="FF000000"/>
        <rFont val="Arial"/>
        <family val="2"/>
      </rPr>
      <t xml:space="preserve">Service Period: </t>
    </r>
    <r>
      <rPr>
        <sz val="14"/>
        <color rgb="FF000000"/>
        <rFont val="Arial"/>
        <family val="2"/>
      </rPr>
      <t>Within FY 2025</t>
    </r>
  </si>
  <si>
    <t>Within FY 2025</t>
  </si>
  <si>
    <r>
      <t>·</t>
    </r>
    <r>
      <rPr>
        <sz val="14"/>
        <color rgb="FF000000"/>
        <rFont val="Times New Roman"/>
        <family val="1"/>
      </rPr>
      <t xml:space="preserve">         </t>
    </r>
    <r>
      <rPr>
        <sz val="14"/>
        <color rgb="FF000000"/>
        <rFont val="Arial"/>
        <family val="2"/>
      </rPr>
      <t>AC of the vehicle must be fully functional/operational</t>
    </r>
  </si>
  <si>
    <t>Within Caraga Region</t>
  </si>
  <si>
    <t>Note: The unit price is determined by the farthest destination within Caraga Region. The actual forwarding cost will be recalculated based on the specific destination.</t>
  </si>
  <si>
    <r>
      <t>Chargeability:</t>
    </r>
    <r>
      <rPr>
        <sz val="14"/>
        <color rgb="FF000000"/>
        <rFont val="Arial"/>
        <family val="2"/>
      </rPr>
      <t xml:space="preserve"> QRF - APB (GAA 2025)</t>
    </r>
  </si>
  <si>
    <t>Send Bill Policy (Progressive billing - upon consumation of the services)</t>
  </si>
  <si>
    <t>Provision of Forwarding Services for Logistics Operations for FY 2025</t>
  </si>
  <si>
    <t>Within CY 2025</t>
  </si>
  <si>
    <r>
      <t>·</t>
    </r>
    <r>
      <rPr>
        <sz val="14"/>
        <color rgb="FF000000"/>
        <rFont val="Times New Roman"/>
        <family val="1"/>
      </rPr>
      <t xml:space="preserve">         </t>
    </r>
    <r>
      <rPr>
        <sz val="14"/>
        <color rgb="FF000000"/>
        <rFont val="Arial"/>
        <family val="2"/>
      </rPr>
      <t>Transporation Arrangement: Pick-up/Drop-off/Standby</t>
    </r>
  </si>
  <si>
    <r>
      <t>·</t>
    </r>
    <r>
      <rPr>
        <sz val="14"/>
        <color rgb="FF000000"/>
        <rFont val="Times New Roman"/>
        <family val="1"/>
      </rPr>
      <t xml:space="preserve">         </t>
    </r>
    <r>
      <rPr>
        <sz val="14"/>
        <color rgb="FF000000"/>
        <rFont val="Arial"/>
        <family val="2"/>
      </rPr>
      <t>Truck type: 6-wheeler</t>
    </r>
  </si>
  <si>
    <r>
      <t>·</t>
    </r>
    <r>
      <rPr>
        <sz val="14"/>
        <color rgb="FF000000"/>
        <rFont val="Times New Roman"/>
        <family val="1"/>
      </rPr>
      <t xml:space="preserve">         </t>
    </r>
    <r>
      <rPr>
        <sz val="14"/>
        <color rgb="FF000000"/>
        <rFont val="Arial"/>
        <family val="2"/>
      </rPr>
      <t>Cargo capacity: Can carry load up to 5 to 6 tons</t>
    </r>
  </si>
  <si>
    <r>
      <t>·</t>
    </r>
    <r>
      <rPr>
        <sz val="14"/>
        <color rgb="FF000000"/>
        <rFont val="Times New Roman"/>
        <family val="1"/>
      </rPr>
      <t xml:space="preserve">         </t>
    </r>
    <r>
      <rPr>
        <sz val="14"/>
        <color rgb="FF000000"/>
        <rFont val="Arial"/>
        <family val="2"/>
      </rPr>
      <t>Volume capacity: 25 cbm</t>
    </r>
  </si>
  <si>
    <r>
      <t>·</t>
    </r>
    <r>
      <rPr>
        <sz val="14"/>
        <color rgb="FF000000"/>
        <rFont val="Times New Roman"/>
        <family val="1"/>
      </rPr>
      <t xml:space="preserve">         </t>
    </r>
    <r>
      <rPr>
        <sz val="14"/>
        <color rgb="FF000000"/>
        <rFont val="Arial"/>
        <family val="2"/>
      </rPr>
      <t>Inclusions: Inclusive of 1 driver and 2 helpers</t>
    </r>
  </si>
  <si>
    <t>SETH'S CATERING SERVICES</t>
  </si>
  <si>
    <t>Guingona Street, Brgy. J.P. Rizal, Butuan City</t>
  </si>
  <si>
    <t xml:space="preserve">Purchase Order No. </t>
  </si>
  <si>
    <t>March 11, 2025</t>
  </si>
  <si>
    <r>
      <t xml:space="preserve">(Total Amount in Words): </t>
    </r>
    <r>
      <rPr>
        <b/>
        <sz val="16"/>
        <color theme="1"/>
        <rFont val="Arial"/>
        <family val="2"/>
      </rPr>
      <t xml:space="preserve"> TWO HUNDRED ELEVEN THOUSAND ONE HUNDRED FIFTY PESOS ONLY</t>
    </r>
  </si>
  <si>
    <r>
      <t xml:space="preserve">(Total Amount in Words): </t>
    </r>
    <r>
      <rPr>
        <b/>
        <sz val="16"/>
        <color theme="1"/>
        <rFont val="Arial"/>
        <family val="2"/>
      </rPr>
      <t xml:space="preserve"> FIFTY-SEVEN THOUSAND SIX HUNDRED PESOS ONLY</t>
    </r>
  </si>
  <si>
    <t>In case of failure to make the full delivery within the time specified above, a penalty of one-tenth (1/10) of one (1) percent for everyday of delay shall be imposed.</t>
  </si>
  <si>
    <t>HAPPYPAO KITCHEN SNACKHOUSE</t>
  </si>
  <si>
    <t>Lagnada St, Brgy. Rajah Soliman, Butuan City</t>
  </si>
  <si>
    <t>296-773-810-000</t>
  </si>
  <si>
    <t>ALBA'S PRINTSHOP AND SUPPLIES</t>
  </si>
  <si>
    <t>657-636-441-000</t>
  </si>
  <si>
    <t>J.C Aquino Avenue, Butuan City</t>
  </si>
  <si>
    <r>
      <t xml:space="preserve">(Total Amount in Words): </t>
    </r>
    <r>
      <rPr>
        <b/>
        <sz val="14"/>
        <color theme="1"/>
        <rFont val="Arial"/>
        <family val="2"/>
      </rPr>
      <t xml:space="preserve"> FORTY-SEVEN THOUSAND THREE HUNDRED SIXTY PESOS ONLY</t>
    </r>
  </si>
  <si>
    <t>231-625-997-000</t>
  </si>
  <si>
    <r>
      <t xml:space="preserve">(Total Amount in Words): </t>
    </r>
    <r>
      <rPr>
        <b/>
        <sz val="14"/>
        <color theme="1"/>
        <rFont val="Arial"/>
        <family val="2"/>
      </rPr>
      <t xml:space="preserve"> THIRTY-FOUR THOUSAND PESOS ONLY</t>
    </r>
  </si>
  <si>
    <t>PM Snacks
(2 days)</t>
  </si>
  <si>
    <r>
      <t xml:space="preserve">(Total Amount in Words): </t>
    </r>
    <r>
      <rPr>
        <b/>
        <sz val="16"/>
        <color theme="1"/>
        <rFont val="Arial"/>
        <family val="2"/>
      </rPr>
      <t xml:space="preserve"> SIX HUNDRED THIRTY-SEVEN THOUSAND SIX HUNDRED EIGHTY PESOS ONLY</t>
    </r>
  </si>
  <si>
    <t>410-806-518-000</t>
  </si>
  <si>
    <r>
      <t xml:space="preserve">(Total Amount in Words): </t>
    </r>
    <r>
      <rPr>
        <b/>
        <sz val="14"/>
        <color theme="1"/>
        <rFont val="Arial"/>
        <family val="2"/>
      </rPr>
      <t xml:space="preserve"> TWO HUNDRED TWENTY-NINE THOUSAND SIX HUNDRED PESOS ONLY</t>
    </r>
  </si>
  <si>
    <t>2025-02-06</t>
  </si>
  <si>
    <t>2025-02-07</t>
  </si>
  <si>
    <t>Meal Requirements:</t>
  </si>
  <si>
    <t>Send Bill Policy 
(Progressive billing - upon consumation of the services)</t>
  </si>
  <si>
    <r>
      <t xml:space="preserve">(Total Amount in Words): </t>
    </r>
    <r>
      <rPr>
        <b/>
        <sz val="14"/>
        <color theme="1"/>
        <rFont val="Arial"/>
        <family val="2"/>
      </rPr>
      <t xml:space="preserve"> ONR HUNDRED THIRTY-SIX THOUSAND PESOS ONLY</t>
    </r>
  </si>
  <si>
    <t xml:space="preserve">Terms and Conditions: </t>
  </si>
  <si>
    <t>DRRM Fund, APB 2025 (GAA)</t>
  </si>
  <si>
    <t xml:space="preserve">            Head, Administrative and Financial Management Section</t>
  </si>
  <si>
    <t xml:space="preserve">Chargeability: </t>
  </si>
  <si>
    <r>
      <t xml:space="preserve">Must accept </t>
    </r>
    <r>
      <rPr>
        <b/>
        <sz val="14"/>
        <color rgb="FF000000"/>
        <rFont val="Arial"/>
        <family val="2"/>
      </rPr>
      <t>SEND BILL</t>
    </r>
    <r>
      <rPr>
        <sz val="14"/>
        <color rgb="FF000000"/>
        <rFont val="Arial"/>
        <family val="2"/>
      </rPr>
      <t xml:space="preserve"> policy as payment for services</t>
    </r>
  </si>
  <si>
    <t>QRF, APB (GAA 2025)</t>
  </si>
  <si>
    <t>Must accept SEND BILL policy as payment for services.</t>
  </si>
  <si>
    <r>
      <t>Chargeability:</t>
    </r>
    <r>
      <rPr>
        <i/>
        <sz val="14"/>
        <color rgb="FF000000"/>
        <rFont val="Arial"/>
        <family val="2"/>
      </rPr>
      <t xml:space="preserve"> </t>
    </r>
  </si>
  <si>
    <t>AM Snack</t>
  </si>
  <si>
    <t>PM Snack</t>
  </si>
  <si>
    <t>**** nothing follows****</t>
  </si>
  <si>
    <r>
      <t>Agenda Folder</t>
    </r>
    <r>
      <rPr>
        <b/>
        <sz val="14"/>
        <color rgb="FF000000"/>
        <rFont val="Arial"/>
        <family val="2"/>
      </rPr>
      <t xml:space="preserve">
Technical Specifications: 
</t>
    </r>
    <r>
      <rPr>
        <sz val="14"/>
        <color rgb="FF000000"/>
        <rFont val="Arial"/>
        <family val="2"/>
      </rPr>
      <t>Sizes: 12x18inches
Mirror Coat Folded with print and pocket
Customized Design</t>
    </r>
  </si>
  <si>
    <t>LORENE SIA-CATEDRAL</t>
  </si>
  <si>
    <t>LORENE SIA- CATEDRAL</t>
  </si>
  <si>
    <t>Lot 1</t>
  </si>
  <si>
    <t>Lot 2</t>
  </si>
  <si>
    <t>Within CY 2025  or until the contract price has been fully consumated</t>
  </si>
  <si>
    <t>Send Bill Policy 
(Progressive Billing)</t>
  </si>
  <si>
    <r>
      <t>Date of Event:</t>
    </r>
    <r>
      <rPr>
        <sz val="16"/>
        <color rgb="FF000000"/>
        <rFont val="Arial"/>
        <family val="2"/>
      </rPr>
      <t xml:space="preserve"> Within CY 2025 (upon approval of APP) or until the contract price has been fully consumated</t>
    </r>
    <r>
      <rPr>
        <b/>
        <sz val="16"/>
        <color rgb="FF000000"/>
        <rFont val="Arial"/>
        <family val="2"/>
      </rPr>
      <t xml:space="preserve">
</t>
    </r>
    <r>
      <rPr>
        <b/>
        <i/>
        <sz val="16"/>
        <color rgb="FF000000"/>
        <rFont val="Arial"/>
        <family val="2"/>
      </rPr>
      <t>Note: Subject to change upon confirmation of both parties</t>
    </r>
  </si>
  <si>
    <r>
      <rPr>
        <b/>
        <sz val="14"/>
        <color rgb="FF000000"/>
        <rFont val="Arial"/>
        <family val="2"/>
      </rPr>
      <t xml:space="preserve">Technical Specifications: </t>
    </r>
    <r>
      <rPr>
        <sz val="14"/>
        <color rgb="FF000000"/>
        <rFont val="Arial"/>
        <family val="2"/>
      </rPr>
      <t xml:space="preserve">
Flag: 
at least 4ft x 6ft in size
Logo/Emlbem:
at least 1.5ft x 1.5ft in size
choices of Acrylic/Stainless</t>
    </r>
  </si>
  <si>
    <t xml:space="preserve">Lot 3 </t>
  </si>
  <si>
    <t>Lot 4</t>
  </si>
  <si>
    <t>Lot 3</t>
  </si>
  <si>
    <t>***nothing follows***</t>
  </si>
  <si>
    <t xml:space="preserve">Send Bill Policy (Progressive Billing) </t>
  </si>
  <si>
    <r>
      <t>Agenda Folder</t>
    </r>
    <r>
      <rPr>
        <b/>
        <sz val="12"/>
        <color rgb="FF000000"/>
        <rFont val="Arial"/>
        <family val="2"/>
      </rPr>
      <t xml:space="preserve">
Technical Specifications: 
</t>
    </r>
    <r>
      <rPr>
        <sz val="12"/>
        <color rgb="FF000000"/>
        <rFont val="Arial"/>
        <family val="2"/>
      </rPr>
      <t>Sizes: 12x18inches
Mirror Coat Folded with print and pocket
Customized Design</t>
    </r>
  </si>
  <si>
    <t>Accommodate the delivery of Non-Food Items to the affected LGUs or identified location;</t>
  </si>
  <si>
    <t>Transport provider accepts change/diversion of areas where humanitarian need is more needed subject ot recomputation of forwarding cost (shall accept changes outside Caraga Region)</t>
  </si>
  <si>
    <t>The freight forwarded shall ensure that insurance for the goods shall be secured before the travel; and</t>
  </si>
  <si>
    <t>Cover all expenses for emergency repairs/check-up during the period covered</t>
  </si>
  <si>
    <t>Room Requirement</t>
  </si>
  <si>
    <t>No. of Rooms</t>
  </si>
  <si>
    <t>Check-In Date/Time</t>
  </si>
  <si>
    <t>Check-Out Date/Time</t>
  </si>
  <si>
    <t xml:space="preserve">Delivery date: </t>
  </si>
  <si>
    <t>Delivery site:</t>
  </si>
  <si>
    <t>Officer-in-Charge</t>
  </si>
  <si>
    <r>
      <t xml:space="preserve">ROOM REQUIREMENTS:
</t>
    </r>
    <r>
      <rPr>
        <sz val="16"/>
        <color theme="1"/>
        <rFont val="Arial"/>
        <family val="2"/>
      </rPr>
      <t>Rooms shall be cleaned and sanitized according to established health protocols. Linens shall be changed regularly.
All rooms must be with windows for ventilation and equipped with a cable television. Equipped with aircondition and preferably with mini-refrigerator.
Bathrooms must be clean, with provision of towel and daily basic toiletries such as toilet papers, toothpaste, toothbrush, bath soap, and shampoo. Must have hot and cold water line. Toilets must be clean and with bidet.
Daily complimentary coffee/tea with provision for thermos or a percolator, preferably or as requested inside the room.
Two complimentary (500ml) bottled water daily per guest.
Free WIFI access to all occupants</t>
    </r>
  </si>
  <si>
    <r>
      <t xml:space="preserve">GENERAL REQUIREMENTS:                                                
</t>
    </r>
    <r>
      <rPr>
        <sz val="16"/>
        <color theme="1"/>
        <rFont val="Arial"/>
        <family val="2"/>
      </rPr>
      <t xml:space="preserve">Must have internet connection at least 50 mbps bandwitdh
Must be in business for at least two (2) years
</t>
    </r>
    <r>
      <rPr>
        <b/>
        <sz val="16"/>
        <color theme="1"/>
        <rFont val="Arial"/>
        <family val="2"/>
      </rPr>
      <t xml:space="preserve">                                  </t>
    </r>
  </si>
  <si>
    <r>
      <t xml:space="preserve">Function Hall:
</t>
    </r>
    <r>
      <rPr>
        <sz val="16"/>
        <color theme="1"/>
        <rFont val="Arial"/>
        <family val="2"/>
      </rPr>
      <t xml:space="preserve">Conference room to comfortably house the total number of attendees
No posts/columns that will obstruct the line of sight of attendees
Must have functional aircondition units to cater the total number of attendees
Must have pork-free alternative food to cater the Muslim guests
Free-flowing coffee and water during the duration of activity at the function hall
</t>
    </r>
    <r>
      <rPr>
        <b/>
        <sz val="16"/>
        <color theme="1"/>
        <rFont val="Arial"/>
        <family val="2"/>
      </rPr>
      <t xml:space="preserve">
</t>
    </r>
  </si>
  <si>
    <r>
      <t xml:space="preserve">Other Requirements:
</t>
    </r>
    <r>
      <rPr>
        <sz val="16"/>
        <color theme="1"/>
        <rFont val="Arial"/>
        <family val="2"/>
      </rPr>
      <t xml:space="preserve">Must have provisions for the elderly, PWDs, pregnant women and children
Must provide free parking space for guests 
</t>
    </r>
  </si>
  <si>
    <r>
      <t xml:space="preserve">Terms and Conditions:
</t>
    </r>
    <r>
      <rPr>
        <sz val="16"/>
        <color theme="1"/>
        <rFont val="Arial"/>
        <family val="2"/>
      </rPr>
      <t xml:space="preserve">Prices must be VAT inclusive.
The Procuring Entity reserves the right to terminate the contract in case of poor performance, or in the event that the need for such service becomes unnecessary.
</t>
    </r>
  </si>
  <si>
    <t>{{order_number}}</t>
  </si>
  <si>
    <t>{{order_date}}</t>
  </si>
  <si>
    <t>{{project_title}}</t>
  </si>
  <si>
    <r>
      <t xml:space="preserve">{{delivery_term}}
</t>
    </r>
    <r>
      <rPr>
        <sz val="16"/>
        <color theme="1"/>
        <rFont val="Arial"/>
        <family val="2"/>
      </rPr>
      <t>(Subject to confirmation and availability of both parties)</t>
    </r>
  </si>
  <si>
    <t>{{delivery_term}}</t>
  </si>
  <si>
    <t>{{supplier}}</t>
  </si>
  <si>
    <t>{{address}}</t>
  </si>
  <si>
    <t>{{contacts}}</t>
  </si>
  <si>
    <t>{{delivery_term_status}}</t>
  </si>
  <si>
    <t>{{tin}}</t>
  </si>
  <si>
    <t>{{delivery_site}}</t>
  </si>
  <si>
    <t>{{block_title}}</t>
  </si>
  <si>
    <t>{{accommodation_title}}</t>
  </si>
  <si>
    <t>{{total_cost}}</t>
  </si>
  <si>
    <t>{{mode_of_procurement}}</t>
  </si>
  <si>
    <t>{{overall_total}}</t>
  </si>
  <si>
    <r>
      <t xml:space="preserve">(Total Amount in Words): </t>
    </r>
    <r>
      <rPr>
        <b/>
        <sz val="16"/>
        <color theme="1"/>
        <rFont val="Arial"/>
        <family val="2"/>
      </rPr>
      <t xml:space="preserve"> {{overall_total_words}</t>
    </r>
    <r>
      <rPr>
        <sz val="16"/>
        <color theme="1"/>
        <rFont val="Arial"/>
        <family val="2"/>
      </rPr>
      <t>}</t>
    </r>
  </si>
  <si>
    <t>{{lot_counter}}</t>
  </si>
  <si>
    <r>
      <t xml:space="preserve">Chargeability: </t>
    </r>
    <r>
      <rPr>
        <i/>
        <sz val="16"/>
        <color theme="1"/>
        <rFont val="Arial"/>
        <family val="2"/>
      </rPr>
      <t>{{chargeability}}</t>
    </r>
  </si>
  <si>
    <t>Other Requirements</t>
  </si>
  <si>
    <t>Inclusive Date/s</t>
  </si>
  <si>
    <t>No. of Nights</t>
  </si>
  <si>
    <t>{{location}}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</si>
</sst>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3409]#,##0.00;\-[$₱-3409]#,##0.00"/>
    <numFmt numFmtId="166" formatCode="[$₱-464]#,##0.00"/>
  </numFmts>
  <fonts count="50">
    <font>
      <sz val="11"/>
      <color theme="1"/>
      <name val="Calibri"/>
      <family val="2"/>
      <scheme val="minor"/>
    </font>
    <font>
      <sz val="11"/>
      <color theme="1"/>
      <name val="Arial"/>
      <family val="2"/>
    </font>
    <font>
      <sz val="9"/>
      <color theme="1"/>
      <name val="Arial"/>
      <family val="2"/>
    </font>
    <font>
      <b/>
      <sz val="9"/>
      <color theme="1"/>
      <name val="Arial"/>
      <family val="2"/>
    </font>
    <font>
      <b/>
      <sz val="10"/>
      <color theme="1"/>
      <name val="Arial"/>
      <family val="2"/>
    </font>
    <font>
      <u/>
      <sz val="11"/>
      <color theme="10"/>
      <name val="Calibri"/>
      <family val="2"/>
      <scheme val="minor"/>
    </font>
    <font>
      <sz val="11"/>
      <color theme="1"/>
      <name val="Calibri"/>
      <family val="2"/>
      <scheme val="minor"/>
    </font>
    <font>
      <sz val="12"/>
      <color theme="1"/>
      <name val="Arial"/>
      <family val="2"/>
    </font>
    <font>
      <b/>
      <sz val="12"/>
      <color theme="1"/>
      <name val="Arial"/>
      <family val="2"/>
    </font>
    <font>
      <sz val="48"/>
      <color theme="1"/>
      <name val="Arial"/>
      <family val="2"/>
    </font>
    <font>
      <b/>
      <sz val="14"/>
      <color theme="1"/>
      <name val="Arial"/>
      <family val="2"/>
    </font>
    <font>
      <sz val="14"/>
      <color theme="1"/>
      <name val="Arial"/>
      <family val="2"/>
    </font>
    <font>
      <b/>
      <i/>
      <sz val="14"/>
      <color theme="1"/>
      <name val="Arial"/>
      <family val="2"/>
    </font>
    <font>
      <i/>
      <sz val="14"/>
      <color theme="1"/>
      <name val="Arial"/>
      <family val="2"/>
    </font>
    <font>
      <u/>
      <sz val="14"/>
      <color theme="10"/>
      <name val="Calibri"/>
      <family val="2"/>
      <scheme val="minor"/>
    </font>
    <font>
      <sz val="14"/>
      <color rgb="FF000000"/>
      <name val="Arial"/>
      <family val="2"/>
    </font>
    <font>
      <b/>
      <sz val="14"/>
      <color rgb="FF000000"/>
      <name val="Arial"/>
      <family val="2"/>
    </font>
    <font>
      <b/>
      <sz val="16"/>
      <color rgb="FF000000"/>
      <name val="Arial"/>
      <family val="2"/>
    </font>
    <font>
      <sz val="16"/>
      <color rgb="FF000000"/>
      <name val="Arial"/>
      <family val="2"/>
    </font>
    <font>
      <b/>
      <sz val="16"/>
      <color theme="1"/>
      <name val="Arial"/>
      <family val="2"/>
    </font>
    <font>
      <sz val="16"/>
      <color theme="1"/>
      <name val="Arial"/>
      <family val="2"/>
    </font>
    <font>
      <sz val="16"/>
      <color theme="1"/>
      <name val="Calibri"/>
      <family val="2"/>
      <scheme val="minor"/>
    </font>
    <font>
      <sz val="16"/>
      <color rgb="FF000000"/>
      <name val="Symbol"/>
      <family val="1"/>
      <charset val="2"/>
    </font>
    <font>
      <u/>
      <sz val="16"/>
      <color theme="10"/>
      <name val="Calibri"/>
      <family val="2"/>
      <scheme val="minor"/>
    </font>
    <font>
      <sz val="14"/>
      <color theme="1"/>
      <name val="Calibri"/>
      <family val="2"/>
      <scheme val="minor"/>
    </font>
    <font>
      <sz val="14"/>
      <color rgb="FF000000"/>
      <name val="Symbol"/>
      <family val="1"/>
      <charset val="2"/>
    </font>
    <font>
      <sz val="14"/>
      <color rgb="FF000000"/>
      <name val="Times New Roman"/>
      <family val="1"/>
    </font>
    <font>
      <b/>
      <i/>
      <sz val="14"/>
      <color rgb="FF000000"/>
      <name val="Arial"/>
      <family val="2"/>
    </font>
    <font>
      <b/>
      <sz val="18"/>
      <color rgb="FF000000"/>
      <name val="Arial"/>
      <family val="2"/>
    </font>
    <font>
      <sz val="12"/>
      <color rgb="FF000000"/>
      <name val="Arial"/>
      <family val="2"/>
    </font>
    <font>
      <b/>
      <sz val="12"/>
      <color rgb="FF000000"/>
      <name val="Arial"/>
      <family val="2"/>
    </font>
    <font>
      <sz val="14"/>
      <name val="Arial"/>
      <family val="2"/>
    </font>
    <font>
      <u/>
      <sz val="16"/>
      <color theme="10"/>
      <name val="Arial"/>
      <family val="2"/>
    </font>
    <font>
      <b/>
      <sz val="18"/>
      <color theme="1"/>
      <name val="Arial"/>
      <family val="2"/>
    </font>
    <font>
      <b/>
      <i/>
      <sz val="16"/>
      <color theme="1"/>
      <name val="Arial"/>
      <family val="2"/>
    </font>
    <font>
      <u/>
      <sz val="18"/>
      <color theme="10"/>
      <name val="Calibri"/>
      <family val="2"/>
      <scheme val="minor"/>
    </font>
    <font>
      <sz val="14"/>
      <color rgb="FF000000"/>
      <name val="Calibri "/>
    </font>
    <font>
      <sz val="14"/>
      <color theme="1"/>
      <name val="Calibri "/>
    </font>
    <font>
      <b/>
      <sz val="16"/>
      <color rgb="FF000000"/>
      <name val="Calibri "/>
    </font>
    <font>
      <b/>
      <sz val="14"/>
      <color rgb="FF000000"/>
      <name val="Calibri "/>
    </font>
    <font>
      <b/>
      <i/>
      <sz val="16"/>
      <color rgb="FF000000"/>
      <name val="Arial"/>
      <family val="2"/>
    </font>
    <font>
      <u/>
      <sz val="18"/>
      <color theme="10"/>
      <name val="Arial"/>
      <family val="2"/>
    </font>
    <font>
      <i/>
      <sz val="14"/>
      <color rgb="FF000000"/>
      <name val="Arial"/>
      <family val="2"/>
    </font>
    <font>
      <b/>
      <sz val="14"/>
      <name val="Arial"/>
      <family val="2"/>
    </font>
    <font>
      <b/>
      <sz val="20"/>
      <color theme="1"/>
      <name val="Arial"/>
      <family val="2"/>
    </font>
    <font>
      <sz val="11"/>
      <color rgb="FF000000"/>
      <name val="Arial"/>
      <family val="2"/>
    </font>
    <font>
      <sz val="18"/>
      <color theme="1"/>
      <name val="Arial"/>
      <family val="2"/>
    </font>
    <font>
      <u/>
      <sz val="18"/>
      <color theme="1"/>
      <name val="Arial"/>
      <family val="2"/>
    </font>
    <font>
      <sz val="17"/>
      <color theme="1"/>
      <name val="Arial"/>
      <family val="2"/>
    </font>
    <font>
      <i/>
      <sz val="16"/>
      <color theme="1"/>
      <name val="Arial"/>
      <family val="2"/>
    </font>
  </fonts>
  <fills count="2">
    <fill>
      <patternFill patternType="none"/>
    </fill>
    <fill>
      <patternFill patternType="gray125"/>
    </fill>
  </fills>
  <borders count="4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s>
  <cellStyleXfs count="6">
    <xf numFmtId="0" fontId="0" fillId="0" borderId="0"/>
    <xf numFmtId="0" fontId="5" fillId="0" borderId="0" applyNumberForma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cellStyleXfs>
  <cellXfs count="594">
    <xf numFmtId="0" fontId="0" fillId="0" borderId="0" xfId="0"/>
    <xf numFmtId="0" fontId="1" fillId="0" borderId="0" xfId="0" applyFont="1"/>
    <xf numFmtId="0" fontId="1" fillId="0" borderId="4" xfId="0" applyFont="1" applyBorder="1"/>
    <xf numFmtId="0" fontId="2" fillId="0" borderId="26" xfId="0" applyFont="1" applyBorder="1" applyAlignment="1">
      <alignment vertical="center"/>
    </xf>
    <xf numFmtId="0" fontId="2" fillId="0" borderId="1" xfId="0" applyFont="1" applyBorder="1"/>
    <xf numFmtId="0" fontId="2" fillId="0" borderId="3" xfId="0" applyFont="1" applyBorder="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0" fontId="2" fillId="0" borderId="28" xfId="0" applyFont="1" applyBorder="1" applyAlignment="1">
      <alignment vertical="center"/>
    </xf>
    <xf numFmtId="4" fontId="2" fillId="0" borderId="32" xfId="0" applyNumberFormat="1" applyFont="1" applyBorder="1" applyAlignment="1">
      <alignment vertical="center"/>
    </xf>
    <xf numFmtId="3" fontId="2" fillId="0" borderId="32" xfId="0" applyNumberFormat="1" applyFont="1" applyBorder="1" applyAlignment="1">
      <alignment horizontal="center" vertical="center"/>
    </xf>
    <xf numFmtId="166" fontId="2" fillId="0" borderId="36" xfId="0" applyNumberFormat="1" applyFont="1" applyBorder="1" applyAlignment="1">
      <alignment vertical="center"/>
    </xf>
    <xf numFmtId="0" fontId="2" fillId="0" borderId="26" xfId="0" applyFont="1" applyBorder="1" applyAlignment="1">
      <alignment horizontal="center" vertical="center"/>
    </xf>
    <xf numFmtId="166" fontId="2" fillId="0" borderId="33" xfId="0" applyNumberFormat="1" applyFont="1" applyBorder="1" applyAlignment="1">
      <alignment vertical="center"/>
    </xf>
    <xf numFmtId="0" fontId="2" fillId="0" borderId="31" xfId="0" applyFont="1" applyBorder="1" applyAlignment="1">
      <alignment vertical="center"/>
    </xf>
    <xf numFmtId="0" fontId="2" fillId="0" borderId="30" xfId="0" applyFont="1" applyBorder="1" applyAlignment="1">
      <alignment vertical="center"/>
    </xf>
    <xf numFmtId="3" fontId="2" fillId="0" borderId="30" xfId="0" applyNumberFormat="1" applyFont="1" applyBorder="1" applyAlignment="1">
      <alignment vertical="center"/>
    </xf>
    <xf numFmtId="0" fontId="2" fillId="0" borderId="31" xfId="0" applyFont="1" applyBorder="1" applyAlignment="1">
      <alignment horizontal="center" vertical="center"/>
    </xf>
    <xf numFmtId="0" fontId="2" fillId="0" borderId="29" xfId="0" applyFont="1" applyBorder="1" applyAlignment="1">
      <alignment horizontal="center" vertical="center"/>
    </xf>
    <xf numFmtId="0" fontId="2" fillId="0" borderId="28" xfId="0" applyFont="1" applyBorder="1" applyAlignment="1">
      <alignment horizontal="center" vertical="center"/>
    </xf>
    <xf numFmtId="3" fontId="2" fillId="0" borderId="28" xfId="0" applyNumberFormat="1" applyFont="1" applyBorder="1" applyAlignment="1">
      <alignment horizontal="center" vertical="center"/>
    </xf>
    <xf numFmtId="0" fontId="7" fillId="0" borderId="0" xfId="0" applyFont="1"/>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7" fillId="0" borderId="1" xfId="0" applyFont="1" applyBorder="1"/>
    <xf numFmtId="0" fontId="7" fillId="0" borderId="3" xfId="0" applyFont="1" applyBorder="1" applyAlignment="1">
      <alignment horizontal="center"/>
    </xf>
    <xf numFmtId="0" fontId="8" fillId="0" borderId="3" xfId="0" applyFont="1" applyBorder="1" applyAlignment="1">
      <alignment horizontal="center"/>
    </xf>
    <xf numFmtId="0" fontId="8" fillId="0" borderId="2" xfId="0" applyFont="1" applyBorder="1" applyAlignment="1">
      <alignment horizontal="center"/>
    </xf>
    <xf numFmtId="0" fontId="7" fillId="0" borderId="23" xfId="0" applyFont="1" applyBorder="1" applyAlignment="1">
      <alignment horizontal="center"/>
    </xf>
    <xf numFmtId="0" fontId="7" fillId="0" borderId="11" xfId="0" applyFont="1" applyBorder="1" applyAlignment="1">
      <alignment horizontal="center"/>
    </xf>
    <xf numFmtId="0" fontId="7" fillId="0" borderId="32" xfId="0" applyFont="1" applyBorder="1" applyAlignment="1">
      <alignment horizontal="center"/>
    </xf>
    <xf numFmtId="0" fontId="7" fillId="0" borderId="33" xfId="0" applyFont="1" applyBorder="1" applyAlignment="1">
      <alignment horizontal="center"/>
    </xf>
    <xf numFmtId="0" fontId="7" fillId="0" borderId="29" xfId="0" applyFont="1" applyBorder="1" applyAlignment="1">
      <alignment horizontal="center" vertical="center"/>
    </xf>
    <xf numFmtId="3" fontId="7" fillId="0" borderId="7" xfId="0" applyNumberFormat="1" applyFont="1" applyBorder="1" applyAlignment="1">
      <alignment horizontal="center" vertical="center" wrapText="1"/>
    </xf>
    <xf numFmtId="4" fontId="7" fillId="0" borderId="32" xfId="0" applyNumberFormat="1" applyFont="1" applyBorder="1" applyAlignment="1">
      <alignment horizontal="center" vertical="center" wrapText="1"/>
    </xf>
    <xf numFmtId="166" fontId="7" fillId="0" borderId="33" xfId="0" applyNumberFormat="1" applyFont="1" applyBorder="1" applyAlignment="1">
      <alignment horizontal="center" vertical="center"/>
    </xf>
    <xf numFmtId="0" fontId="7" fillId="0" borderId="31" xfId="0" applyFont="1" applyBorder="1" applyAlignment="1">
      <alignment horizontal="center" vertical="center"/>
    </xf>
    <xf numFmtId="3" fontId="7" fillId="0" borderId="30" xfId="0" applyNumberFormat="1" applyFont="1" applyBorder="1" applyAlignment="1">
      <alignment horizontal="center" vertical="center" wrapText="1"/>
    </xf>
    <xf numFmtId="4" fontId="7" fillId="0" borderId="28" xfId="0" applyNumberFormat="1" applyFont="1" applyBorder="1" applyAlignment="1">
      <alignment horizontal="center" vertical="center" wrapText="1"/>
    </xf>
    <xf numFmtId="166" fontId="7" fillId="0" borderId="36" xfId="0" applyNumberFormat="1" applyFont="1" applyBorder="1" applyAlignment="1">
      <alignment horizontal="center" vertical="center"/>
    </xf>
    <xf numFmtId="0" fontId="7" fillId="0" borderId="26" xfId="0" applyFont="1" applyBorder="1" applyAlignment="1">
      <alignment vertical="center"/>
    </xf>
    <xf numFmtId="0" fontId="7" fillId="0" borderId="31" xfId="0" applyFont="1" applyBorder="1" applyAlignment="1">
      <alignment vertical="center"/>
    </xf>
    <xf numFmtId="4" fontId="7" fillId="0" borderId="28" xfId="0" applyNumberFormat="1" applyFont="1" applyBorder="1" applyAlignment="1">
      <alignment vertical="center" wrapText="1"/>
    </xf>
    <xf numFmtId="166" fontId="7" fillId="0" borderId="36" xfId="0" applyNumberFormat="1" applyFont="1" applyBorder="1" applyAlignment="1">
      <alignment vertical="center"/>
    </xf>
    <xf numFmtId="0" fontId="7" fillId="0" borderId="30" xfId="0" applyFont="1" applyBorder="1" applyAlignment="1">
      <alignment horizontal="center" vertical="center"/>
    </xf>
    <xf numFmtId="4" fontId="7" fillId="0" borderId="28" xfId="0" applyNumberFormat="1" applyFont="1" applyBorder="1" applyAlignment="1">
      <alignment horizontal="center" vertical="center"/>
    </xf>
    <xf numFmtId="3" fontId="7" fillId="0" borderId="28" xfId="0" applyNumberFormat="1" applyFont="1" applyBorder="1" applyAlignment="1">
      <alignment vertical="center"/>
    </xf>
    <xf numFmtId="166" fontId="7" fillId="0" borderId="28" xfId="0" applyNumberFormat="1" applyFont="1" applyBorder="1" applyAlignment="1">
      <alignment vertical="center"/>
    </xf>
    <xf numFmtId="0" fontId="7" fillId="0" borderId="4" xfId="0" applyFont="1" applyBorder="1" applyAlignment="1">
      <alignment vertical="center"/>
    </xf>
    <xf numFmtId="0" fontId="7" fillId="0" borderId="4" xfId="0" applyFont="1" applyBorder="1"/>
    <xf numFmtId="0" fontId="7" fillId="0" borderId="5" xfId="0" applyFont="1" applyBorder="1"/>
    <xf numFmtId="0" fontId="7" fillId="0" borderId="14" xfId="0" applyFont="1" applyBorder="1"/>
    <xf numFmtId="0" fontId="7" fillId="0" borderId="4" xfId="0" applyFont="1" applyBorder="1" applyAlignment="1">
      <alignment horizontal="center"/>
    </xf>
    <xf numFmtId="0" fontId="7" fillId="0" borderId="10" xfId="0" applyFont="1" applyBorder="1"/>
    <xf numFmtId="0" fontId="8" fillId="0" borderId="0" xfId="0" applyFont="1"/>
    <xf numFmtId="0" fontId="7" fillId="0" borderId="0" xfId="0" applyFont="1" applyAlignment="1">
      <alignment horizontal="center" vertical="top"/>
    </xf>
    <xf numFmtId="0" fontId="7" fillId="0" borderId="0" xfId="0" applyFont="1" applyAlignment="1">
      <alignment vertical="top"/>
    </xf>
    <xf numFmtId="0" fontId="7" fillId="0" borderId="18" xfId="0" applyFont="1" applyBorder="1"/>
    <xf numFmtId="0" fontId="7" fillId="0" borderId="19" xfId="0" applyFont="1" applyBorder="1" applyAlignment="1">
      <alignment horizontal="center" vertical="top"/>
    </xf>
    <xf numFmtId="0" fontId="7" fillId="0" borderId="19" xfId="0" applyFont="1" applyBorder="1"/>
    <xf numFmtId="0" fontId="7" fillId="0" borderId="25" xfId="0" applyFont="1" applyBorder="1"/>
    <xf numFmtId="0" fontId="7" fillId="0" borderId="9" xfId="0" applyFont="1" applyBorder="1"/>
    <xf numFmtId="0" fontId="11" fillId="0" borderId="31" xfId="0" quotePrefix="1" applyFont="1" applyBorder="1" applyAlignment="1">
      <alignment horizontal="left" vertical="top"/>
    </xf>
    <xf numFmtId="0" fontId="11" fillId="0" borderId="30" xfId="0" quotePrefix="1" applyFont="1" applyBorder="1" applyAlignment="1">
      <alignment horizontal="left" vertical="center"/>
    </xf>
    <xf numFmtId="0" fontId="11" fillId="0" borderId="30" xfId="0" quotePrefix="1" applyFont="1" applyBorder="1" applyAlignment="1">
      <alignment horizontal="left" vertical="top"/>
    </xf>
    <xf numFmtId="0" fontId="10" fillId="0" borderId="14" xfId="0" quotePrefix="1" applyFont="1" applyBorder="1" applyAlignment="1">
      <alignment horizontal="left" vertical="top"/>
    </xf>
    <xf numFmtId="0" fontId="10" fillId="0" borderId="19" xfId="0" quotePrefix="1" applyFont="1" applyBorder="1" applyAlignment="1">
      <alignment horizontal="left" vertical="top"/>
    </xf>
    <xf numFmtId="0" fontId="10" fillId="0" borderId="6" xfId="0" quotePrefix="1" applyFont="1" applyBorder="1" applyAlignment="1">
      <alignment horizontal="left" vertical="top"/>
    </xf>
    <xf numFmtId="0" fontId="13" fillId="0" borderId="30" xfId="0" quotePrefix="1" applyFont="1" applyBorder="1" applyAlignment="1">
      <alignment horizontal="left" vertical="top"/>
    </xf>
    <xf numFmtId="0" fontId="1" fillId="0" borderId="23" xfId="0" applyFont="1" applyBorder="1" applyAlignment="1">
      <alignment horizontal="center"/>
    </xf>
    <xf numFmtId="0" fontId="1" fillId="0" borderId="11" xfId="0" applyFont="1" applyBorder="1" applyAlignment="1">
      <alignment horizontal="center"/>
    </xf>
    <xf numFmtId="0" fontId="1" fillId="0" borderId="7"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0" fontId="10" fillId="0" borderId="0" xfId="0" quotePrefix="1" applyFont="1" applyAlignment="1">
      <alignment vertical="top" wrapText="1"/>
    </xf>
    <xf numFmtId="0" fontId="11" fillId="0" borderId="0" xfId="0" quotePrefix="1" applyFont="1" applyAlignment="1">
      <alignment vertical="center" wrapText="1"/>
    </xf>
    <xf numFmtId="0" fontId="11" fillId="0" borderId="0" xfId="0" quotePrefix="1" applyFont="1" applyAlignment="1">
      <alignment vertical="center"/>
    </xf>
    <xf numFmtId="0" fontId="11" fillId="0" borderId="31" xfId="0" applyFont="1" applyBorder="1" applyAlignment="1">
      <alignment horizontal="center" vertical="center"/>
    </xf>
    <xf numFmtId="0" fontId="11" fillId="0" borderId="31" xfId="0" applyFont="1" applyBorder="1" applyAlignment="1">
      <alignment vertical="center"/>
    </xf>
    <xf numFmtId="166" fontId="11" fillId="0" borderId="36" xfId="0" applyNumberFormat="1" applyFont="1" applyBorder="1" applyAlignment="1">
      <alignment vertical="center"/>
    </xf>
    <xf numFmtId="166" fontId="7" fillId="0" borderId="30" xfId="0" applyNumberFormat="1" applyFont="1" applyBorder="1" applyAlignment="1">
      <alignment vertical="center"/>
    </xf>
    <xf numFmtId="0" fontId="19" fillId="0" borderId="15" xfId="0" applyFont="1" applyBorder="1" applyAlignment="1">
      <alignment horizontal="center" vertical="center" wrapText="1"/>
    </xf>
    <xf numFmtId="0" fontId="20" fillId="0" borderId="15" xfId="0" applyFont="1" applyBorder="1" applyAlignment="1">
      <alignment horizontal="center" vertical="center" wrapText="1"/>
    </xf>
    <xf numFmtId="0" fontId="2" fillId="0" borderId="11" xfId="0" applyFont="1" applyBorder="1" applyAlignment="1">
      <alignment horizontal="center" vertical="center"/>
    </xf>
    <xf numFmtId="0" fontId="10" fillId="0" borderId="0" xfId="0" quotePrefix="1" applyFont="1" applyAlignment="1">
      <alignment horizontal="center" vertical="top" wrapText="1"/>
    </xf>
    <xf numFmtId="0" fontId="17" fillId="0" borderId="31" xfId="0" applyFont="1" applyBorder="1" applyAlignment="1">
      <alignment vertical="center"/>
    </xf>
    <xf numFmtId="0" fontId="18" fillId="0" borderId="31" xfId="0" applyFont="1" applyBorder="1" applyAlignment="1">
      <alignment vertical="center"/>
    </xf>
    <xf numFmtId="0" fontId="18" fillId="0" borderId="31" xfId="0" quotePrefix="1" applyFont="1" applyBorder="1" applyAlignment="1">
      <alignment vertical="center"/>
    </xf>
    <xf numFmtId="0" fontId="17" fillId="0" borderId="14" xfId="0" applyFont="1" applyBorder="1" applyAlignment="1">
      <alignment vertical="center"/>
    </xf>
    <xf numFmtId="0" fontId="21" fillId="0" borderId="19" xfId="0" applyFont="1" applyBorder="1"/>
    <xf numFmtId="0" fontId="15" fillId="0" borderId="30" xfId="0" applyFont="1" applyBorder="1" applyAlignment="1">
      <alignment vertical="center" wrapText="1"/>
    </xf>
    <xf numFmtId="0" fontId="11" fillId="0" borderId="16" xfId="0" applyFont="1" applyBorder="1"/>
    <xf numFmtId="3" fontId="11" fillId="0" borderId="28" xfId="0" applyNumberFormat="1" applyFont="1" applyBorder="1" applyAlignment="1">
      <alignment vertical="center"/>
    </xf>
    <xf numFmtId="4" fontId="2" fillId="0" borderId="30" xfId="0" applyNumberFormat="1" applyFont="1" applyBorder="1" applyAlignment="1">
      <alignment vertical="center"/>
    </xf>
    <xf numFmtId="0" fontId="11" fillId="0" borderId="30" xfId="0" applyFont="1" applyBorder="1" applyAlignment="1">
      <alignment vertical="center"/>
    </xf>
    <xf numFmtId="0" fontId="15" fillId="0" borderId="6" xfId="0" applyFont="1" applyBorder="1" applyAlignment="1">
      <alignment vertical="center" wrapText="1"/>
    </xf>
    <xf numFmtId="165" fontId="10" fillId="0" borderId="17" xfId="2" applyNumberFormat="1" applyFont="1" applyBorder="1" applyAlignment="1">
      <alignment vertical="top"/>
    </xf>
    <xf numFmtId="0" fontId="11" fillId="0" borderId="4" xfId="0" applyFont="1" applyBorder="1" applyAlignment="1">
      <alignment horizontal="left"/>
    </xf>
    <xf numFmtId="0" fontId="11" fillId="0" borderId="0" xfId="0" applyFont="1"/>
    <xf numFmtId="0" fontId="11" fillId="0" borderId="4" xfId="0" applyFont="1" applyBorder="1"/>
    <xf numFmtId="0" fontId="10" fillId="0" borderId="0" xfId="0" applyFont="1" applyAlignment="1">
      <alignment horizontal="center"/>
    </xf>
    <xf numFmtId="0" fontId="11" fillId="0" borderId="10" xfId="0" applyFont="1" applyBorder="1"/>
    <xf numFmtId="0" fontId="10" fillId="0" borderId="0" xfId="0" applyFont="1"/>
    <xf numFmtId="0" fontId="11" fillId="0" borderId="0" xfId="0" applyFont="1" applyAlignment="1">
      <alignment vertical="top"/>
    </xf>
    <xf numFmtId="0" fontId="7" fillId="0" borderId="7" xfId="0" applyFont="1" applyBorder="1" applyAlignment="1">
      <alignment horizontal="center"/>
    </xf>
    <xf numFmtId="3" fontId="11" fillId="0" borderId="30" xfId="0" applyNumberFormat="1" applyFont="1" applyBorder="1" applyAlignment="1">
      <alignment horizontal="center" vertical="center" wrapText="1"/>
    </xf>
    <xf numFmtId="0" fontId="11" fillId="0" borderId="30" xfId="0" applyFont="1" applyBorder="1" applyAlignment="1">
      <alignment horizontal="center" vertical="center"/>
    </xf>
    <xf numFmtId="0" fontId="17" fillId="0" borderId="30" xfId="0" applyFont="1" applyBorder="1" applyAlignment="1">
      <alignment vertical="center"/>
    </xf>
    <xf numFmtId="0" fontId="22" fillId="0" borderId="30" xfId="0" applyFont="1" applyBorder="1" applyAlignment="1">
      <alignment vertical="center"/>
    </xf>
    <xf numFmtId="0" fontId="17" fillId="0" borderId="31" xfId="0" applyFont="1" applyBorder="1" applyAlignment="1">
      <alignment vertical="center" wrapText="1"/>
    </xf>
    <xf numFmtId="0" fontId="17" fillId="0" borderId="0" xfId="0" applyFont="1" applyAlignment="1">
      <alignment vertical="center" wrapText="1"/>
    </xf>
    <xf numFmtId="0" fontId="17" fillId="0" borderId="30" xfId="0" applyFont="1" applyBorder="1" applyAlignment="1">
      <alignment vertical="center" wrapText="1"/>
    </xf>
    <xf numFmtId="0" fontId="18" fillId="0" borderId="30" xfId="0" applyFont="1" applyBorder="1" applyAlignment="1">
      <alignment vertical="center"/>
    </xf>
    <xf numFmtId="0" fontId="18" fillId="0" borderId="30" xfId="0" applyFont="1" applyBorder="1"/>
    <xf numFmtId="0" fontId="12" fillId="0" borderId="30" xfId="0" quotePrefix="1" applyFont="1" applyBorder="1" applyAlignment="1">
      <alignment vertical="center"/>
    </xf>
    <xf numFmtId="0" fontId="16" fillId="0" borderId="31" xfId="0" applyFont="1" applyBorder="1" applyAlignment="1">
      <alignment horizontal="left" vertical="center"/>
    </xf>
    <xf numFmtId="0" fontId="15" fillId="0" borderId="31" xfId="0" applyFont="1" applyBorder="1" applyAlignment="1">
      <alignment horizontal="left" vertical="center"/>
    </xf>
    <xf numFmtId="0" fontId="15" fillId="0" borderId="15" xfId="0" applyFont="1" applyBorder="1" applyAlignment="1">
      <alignment horizontal="center" vertical="center" wrapText="1"/>
    </xf>
    <xf numFmtId="0" fontId="16" fillId="0" borderId="15" xfId="0" applyFont="1" applyBorder="1" applyAlignment="1">
      <alignment horizontal="center" vertical="center" wrapText="1"/>
    </xf>
    <xf numFmtId="0" fontId="24" fillId="0" borderId="0" xfId="0" applyFont="1" applyAlignment="1">
      <alignment horizontal="left"/>
    </xf>
    <xf numFmtId="0" fontId="25" fillId="0" borderId="31" xfId="0" applyFont="1" applyBorder="1" applyAlignment="1">
      <alignment horizontal="left" vertical="center"/>
    </xf>
    <xf numFmtId="0" fontId="25" fillId="0" borderId="31" xfId="0" applyFont="1" applyBorder="1" applyAlignment="1">
      <alignment horizontal="left" vertical="center" indent="5"/>
    </xf>
    <xf numFmtId="0" fontId="16" fillId="0" borderId="31" xfId="0" applyFont="1" applyBorder="1" applyAlignment="1">
      <alignment horizontal="left"/>
    </xf>
    <xf numFmtId="0" fontId="11" fillId="0" borderId="0" xfId="0" applyFont="1" applyAlignment="1">
      <alignment horizontal="center" vertical="center"/>
    </xf>
    <xf numFmtId="4" fontId="11" fillId="0" borderId="28" xfId="0" applyNumberFormat="1" applyFont="1" applyBorder="1" applyAlignment="1">
      <alignment horizontal="center" vertical="center"/>
    </xf>
    <xf numFmtId="0" fontId="7" fillId="0" borderId="4" xfId="0" applyFont="1" applyBorder="1" applyAlignment="1">
      <alignment horizontal="center" vertical="center"/>
    </xf>
    <xf numFmtId="0" fontId="11" fillId="0" borderId="16" xfId="0" applyFont="1" applyBorder="1" applyAlignment="1">
      <alignment vertical="center"/>
    </xf>
    <xf numFmtId="166" fontId="11" fillId="0" borderId="36" xfId="0" applyNumberFormat="1" applyFont="1" applyBorder="1" applyAlignment="1">
      <alignment horizontal="center" vertical="center"/>
    </xf>
    <xf numFmtId="0" fontId="20" fillId="0" borderId="31" xfId="0" applyFont="1" applyBorder="1" applyAlignment="1">
      <alignment horizontal="center" vertical="center"/>
    </xf>
    <xf numFmtId="0" fontId="25" fillId="0" borderId="0" xfId="0" applyFont="1" applyAlignment="1">
      <alignment vertical="center" wrapText="1"/>
    </xf>
    <xf numFmtId="166" fontId="20" fillId="0" borderId="36" xfId="0" applyNumberFormat="1" applyFont="1" applyBorder="1" applyAlignment="1">
      <alignment horizontal="center" vertical="center"/>
    </xf>
    <xf numFmtId="0" fontId="18" fillId="0" borderId="31" xfId="0" quotePrefix="1" applyFont="1" applyBorder="1" applyAlignment="1">
      <alignment horizontal="left" vertical="center" wrapText="1"/>
    </xf>
    <xf numFmtId="0" fontId="18" fillId="0" borderId="0" xfId="0" quotePrefix="1" applyFont="1" applyAlignment="1">
      <alignment horizontal="left" vertical="center" wrapText="1"/>
    </xf>
    <xf numFmtId="0" fontId="20" fillId="0" borderId="28" xfId="0" applyFont="1" applyBorder="1" applyAlignment="1">
      <alignment horizontal="center" vertical="center"/>
    </xf>
    <xf numFmtId="43" fontId="20" fillId="0" borderId="30" xfId="2" applyFont="1" applyBorder="1" applyAlignment="1">
      <alignment vertical="center"/>
    </xf>
    <xf numFmtId="0" fontId="7" fillId="0" borderId="28" xfId="0" applyFont="1" applyBorder="1" applyAlignment="1">
      <alignment horizontal="center" vertical="center"/>
    </xf>
    <xf numFmtId="0" fontId="7" fillId="0" borderId="42" xfId="0" applyFont="1" applyBorder="1" applyAlignment="1">
      <alignment horizontal="center" vertical="center"/>
    </xf>
    <xf numFmtId="0" fontId="25" fillId="0" borderId="28" xfId="0" applyFont="1" applyBorder="1" applyAlignment="1">
      <alignment vertical="center" wrapText="1"/>
    </xf>
    <xf numFmtId="0" fontId="18" fillId="0" borderId="30" xfId="0" quotePrefix="1" applyFont="1" applyBorder="1" applyAlignment="1">
      <alignment horizontal="left" vertical="center" wrapText="1"/>
    </xf>
    <xf numFmtId="165" fontId="10" fillId="0" borderId="17" xfId="2" applyNumberFormat="1" applyFont="1" applyBorder="1" applyAlignment="1">
      <alignment vertical="center"/>
    </xf>
    <xf numFmtId="0" fontId="2" fillId="0" borderId="4" xfId="0" applyFont="1" applyBorder="1" applyAlignment="1">
      <alignment vertical="center"/>
    </xf>
    <xf numFmtId="0" fontId="36" fillId="0" borderId="31" xfId="0" applyFont="1" applyBorder="1" applyAlignment="1">
      <alignment horizontal="left" vertical="center" indent="5"/>
    </xf>
    <xf numFmtId="0" fontId="37" fillId="0" borderId="0" xfId="0" applyFont="1" applyAlignment="1">
      <alignment horizontal="left"/>
    </xf>
    <xf numFmtId="0" fontId="38" fillId="0" borderId="30" xfId="0" applyFont="1" applyBorder="1" applyAlignment="1">
      <alignment vertical="center"/>
    </xf>
    <xf numFmtId="0" fontId="11" fillId="0" borderId="16" xfId="0" applyFont="1" applyBorder="1" applyAlignment="1">
      <alignment horizontal="left" vertical="center"/>
    </xf>
    <xf numFmtId="0" fontId="19" fillId="0" borderId="13"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31" xfId="0" applyFont="1" applyBorder="1" applyAlignment="1">
      <alignment horizontal="left" wrapText="1"/>
    </xf>
    <xf numFmtId="0" fontId="20" fillId="0" borderId="0" xfId="0" applyFont="1" applyAlignment="1">
      <alignment horizontal="left" wrapText="1"/>
    </xf>
    <xf numFmtId="0" fontId="20" fillId="0" borderId="30" xfId="0" applyFont="1" applyBorder="1" applyAlignment="1">
      <alignment horizontal="left" wrapText="1"/>
    </xf>
    <xf numFmtId="0" fontId="34" fillId="0" borderId="0" xfId="0" applyFont="1" applyAlignment="1">
      <alignment horizontal="left" wrapText="1"/>
    </xf>
    <xf numFmtId="0" fontId="34" fillId="0" borderId="30" xfId="0" applyFont="1" applyBorder="1" applyAlignment="1">
      <alignment horizontal="left" wrapText="1"/>
    </xf>
    <xf numFmtId="0" fontId="31" fillId="0" borderId="30" xfId="0" applyFont="1" applyBorder="1" applyAlignment="1">
      <alignment horizontal="left" vertical="center" wrapText="1" indent="3"/>
    </xf>
    <xf numFmtId="0" fontId="11" fillId="0" borderId="30" xfId="0" applyFont="1" applyBorder="1" applyAlignment="1">
      <alignment horizontal="left" indent="3"/>
    </xf>
    <xf numFmtId="0" fontId="31" fillId="0" borderId="30" xfId="0" applyFont="1" applyBorder="1" applyAlignment="1">
      <alignment horizontal="left" vertical="center" indent="3"/>
    </xf>
    <xf numFmtId="0" fontId="17" fillId="0" borderId="31" xfId="0" applyFont="1" applyBorder="1" applyAlignment="1">
      <alignment horizontal="left" vertical="center" wrapText="1"/>
    </xf>
    <xf numFmtId="0" fontId="17" fillId="0" borderId="0" xfId="0" applyFont="1" applyAlignment="1">
      <alignment horizontal="left" vertical="center" wrapText="1"/>
    </xf>
    <xf numFmtId="0" fontId="17" fillId="0" borderId="30" xfId="0" applyFont="1" applyBorder="1" applyAlignment="1">
      <alignment horizontal="left" vertical="center" wrapText="1"/>
    </xf>
    <xf numFmtId="0" fontId="20" fillId="0" borderId="31" xfId="0" applyFont="1" applyBorder="1" applyAlignment="1">
      <alignment horizontal="center" vertical="center" wrapText="1"/>
    </xf>
    <xf numFmtId="0" fontId="20" fillId="0" borderId="0" xfId="0" applyFont="1" applyAlignment="1">
      <alignment horizontal="center" vertical="center" wrapText="1"/>
    </xf>
    <xf numFmtId="0" fontId="20" fillId="0" borderId="0" xfId="0" quotePrefix="1" applyFont="1" applyAlignment="1">
      <alignment vertical="center" wrapText="1"/>
    </xf>
    <xf numFmtId="0" fontId="20" fillId="0" borderId="30" xfId="0" applyFont="1" applyBorder="1" applyAlignment="1">
      <alignment horizontal="center" vertical="center" wrapText="1"/>
    </xf>
    <xf numFmtId="166" fontId="7" fillId="0" borderId="42" xfId="0" applyNumberFormat="1" applyFont="1" applyBorder="1" applyAlignment="1">
      <alignment vertical="center"/>
    </xf>
    <xf numFmtId="166" fontId="19" fillId="0" borderId="36" xfId="0" applyNumberFormat="1" applyFont="1" applyBorder="1" applyAlignment="1">
      <alignment vertical="center"/>
    </xf>
    <xf numFmtId="0" fontId="11" fillId="0" borderId="0" xfId="0" quotePrefix="1" applyFont="1" applyAlignment="1">
      <alignment horizontal="left" vertical="top"/>
    </xf>
    <xf numFmtId="4" fontId="7" fillId="0" borderId="7" xfId="0" applyNumberFormat="1" applyFont="1" applyBorder="1" applyAlignment="1">
      <alignment horizontal="center" vertical="center" wrapText="1"/>
    </xf>
    <xf numFmtId="4" fontId="7" fillId="0" borderId="30" xfId="0" applyNumberFormat="1" applyFont="1" applyBorder="1" applyAlignment="1">
      <alignment horizontal="center" vertical="center" wrapText="1"/>
    </xf>
    <xf numFmtId="4" fontId="7" fillId="0" borderId="30" xfId="0" applyNumberFormat="1" applyFont="1" applyBorder="1" applyAlignment="1">
      <alignment vertical="center" wrapText="1"/>
    </xf>
    <xf numFmtId="3" fontId="7" fillId="0" borderId="30" xfId="0" applyNumberFormat="1" applyFont="1" applyBorder="1" applyAlignment="1">
      <alignment vertical="center"/>
    </xf>
    <xf numFmtId="3" fontId="7" fillId="0" borderId="32" xfId="0" applyNumberFormat="1" applyFont="1" applyBorder="1" applyAlignment="1">
      <alignment horizontal="center" vertical="center" wrapText="1"/>
    </xf>
    <xf numFmtId="3" fontId="7" fillId="0" borderId="28" xfId="0" applyNumberFormat="1" applyFont="1" applyBorder="1" applyAlignment="1">
      <alignment horizontal="center" vertical="center" wrapText="1"/>
    </xf>
    <xf numFmtId="3" fontId="11" fillId="0" borderId="28" xfId="0" applyNumberFormat="1" applyFont="1" applyBorder="1" applyAlignment="1">
      <alignment horizontal="center" vertical="center" wrapText="1"/>
    </xf>
    <xf numFmtId="166" fontId="7" fillId="0" borderId="32" xfId="0" applyNumberFormat="1" applyFont="1" applyBorder="1" applyAlignment="1">
      <alignment horizontal="center" vertical="center"/>
    </xf>
    <xf numFmtId="166" fontId="7" fillId="0" borderId="28" xfId="0" applyNumberFormat="1" applyFont="1" applyBorder="1" applyAlignment="1">
      <alignment horizontal="center" vertical="center"/>
    </xf>
    <xf numFmtId="4" fontId="11" fillId="0" borderId="28" xfId="0" applyNumberFormat="1" applyFont="1" applyBorder="1" applyAlignment="1">
      <alignment vertical="center" wrapText="1"/>
    </xf>
    <xf numFmtId="4" fontId="7" fillId="0" borderId="24" xfId="0" applyNumberFormat="1" applyFont="1" applyBorder="1" applyAlignment="1">
      <alignment horizontal="center" vertical="center" wrapText="1"/>
    </xf>
    <xf numFmtId="4" fontId="7" fillId="0" borderId="0" xfId="0" applyNumberFormat="1" applyFont="1" applyAlignment="1">
      <alignment horizontal="center" vertical="center" wrapText="1"/>
    </xf>
    <xf numFmtId="4" fontId="7" fillId="0" borderId="0" xfId="0" applyNumberFormat="1" applyFont="1" applyAlignment="1">
      <alignment vertical="center" wrapText="1"/>
    </xf>
    <xf numFmtId="4" fontId="11" fillId="0" borderId="0" xfId="0" applyNumberFormat="1" applyFont="1" applyAlignment="1">
      <alignment vertical="center" wrapText="1"/>
    </xf>
    <xf numFmtId="166" fontId="11" fillId="0" borderId="28" xfId="0" applyNumberFormat="1" applyFont="1" applyBorder="1" applyAlignment="1">
      <alignment vertical="center"/>
    </xf>
    <xf numFmtId="0" fontId="10" fillId="0" borderId="26" xfId="0" applyFont="1" applyBorder="1" applyAlignment="1">
      <alignment horizontal="center" vertical="center"/>
    </xf>
    <xf numFmtId="0" fontId="11" fillId="0" borderId="26" xfId="0" applyFont="1" applyBorder="1" applyAlignment="1">
      <alignment horizontal="center" vertical="center"/>
    </xf>
    <xf numFmtId="165" fontId="10" fillId="0" borderId="45" xfId="2" applyNumberFormat="1" applyFont="1" applyBorder="1" applyAlignment="1">
      <alignment vertical="top"/>
    </xf>
    <xf numFmtId="0" fontId="11" fillId="0" borderId="28" xfId="0" applyFont="1" applyBorder="1" applyAlignment="1">
      <alignment horizontal="center" vertical="center"/>
    </xf>
    <xf numFmtId="3" fontId="11" fillId="0" borderId="0" xfId="0" applyNumberFormat="1" applyFont="1" applyAlignment="1">
      <alignment vertical="center"/>
    </xf>
    <xf numFmtId="166" fontId="11" fillId="0" borderId="0" xfId="0" applyNumberFormat="1" applyFont="1" applyAlignment="1">
      <alignment vertical="center"/>
    </xf>
    <xf numFmtId="0" fontId="20" fillId="0" borderId="24" xfId="0" applyFont="1" applyBorder="1" applyAlignment="1">
      <alignment horizontal="center" vertical="center" wrapText="1"/>
    </xf>
    <xf numFmtId="0" fontId="20" fillId="0" borderId="24" xfId="0" quotePrefix="1" applyFont="1" applyBorder="1" applyAlignment="1">
      <alignment vertical="center" wrapText="1"/>
    </xf>
    <xf numFmtId="0" fontId="20" fillId="0" borderId="7" xfId="0" applyFont="1" applyBorder="1" applyAlignment="1">
      <alignment horizontal="center" vertical="center" wrapText="1"/>
    </xf>
    <xf numFmtId="0" fontId="10" fillId="0" borderId="30" xfId="0" quotePrefix="1" applyFont="1" applyBorder="1" applyAlignment="1">
      <alignment vertical="top" wrapText="1"/>
    </xf>
    <xf numFmtId="0" fontId="11" fillId="0" borderId="30" xfId="0" quotePrefix="1" applyFont="1" applyBorder="1" applyAlignment="1">
      <alignment vertical="center" wrapText="1"/>
    </xf>
    <xf numFmtId="4" fontId="2" fillId="0" borderId="7" xfId="0" applyNumberFormat="1" applyFont="1" applyBorder="1" applyAlignment="1">
      <alignment vertical="center"/>
    </xf>
    <xf numFmtId="0" fontId="2" fillId="0" borderId="42" xfId="0" applyFont="1" applyBorder="1" applyAlignment="1">
      <alignment vertical="center"/>
    </xf>
    <xf numFmtId="0" fontId="24" fillId="0" borderId="24" xfId="0" applyFont="1" applyBorder="1" applyAlignment="1">
      <alignment horizontal="left"/>
    </xf>
    <xf numFmtId="0" fontId="11" fillId="0" borderId="7" xfId="0" quotePrefix="1" applyFont="1" applyBorder="1" applyAlignment="1">
      <alignment horizontal="left" vertical="top"/>
    </xf>
    <xf numFmtId="166" fontId="11" fillId="0" borderId="28" xfId="0" applyNumberFormat="1" applyFont="1" applyBorder="1" applyAlignment="1">
      <alignment horizontal="center" vertical="center"/>
    </xf>
    <xf numFmtId="0" fontId="16" fillId="0" borderId="11" xfId="0" applyFont="1" applyBorder="1" applyAlignment="1">
      <alignment horizontal="left" vertical="center"/>
    </xf>
    <xf numFmtId="0" fontId="11" fillId="0" borderId="4" xfId="0" applyFont="1" applyBorder="1" applyAlignment="1">
      <alignment vertical="center"/>
    </xf>
    <xf numFmtId="0" fontId="31" fillId="0" borderId="31" xfId="0" applyFont="1" applyBorder="1" applyAlignment="1">
      <alignment horizontal="left" vertical="center" wrapText="1"/>
    </xf>
    <xf numFmtId="0" fontId="31" fillId="0" borderId="0" xfId="0" applyFont="1" applyAlignment="1">
      <alignment horizontal="left" vertical="center" wrapText="1"/>
    </xf>
    <xf numFmtId="0" fontId="31" fillId="0" borderId="31" xfId="0" applyFont="1" applyBorder="1" applyAlignment="1">
      <alignment horizontal="left" vertical="top" wrapText="1"/>
    </xf>
    <xf numFmtId="0" fontId="31" fillId="0" borderId="0" xfId="0" applyFont="1" applyAlignment="1">
      <alignment horizontal="left" vertical="top" wrapText="1"/>
    </xf>
    <xf numFmtId="0" fontId="12" fillId="0" borderId="31" xfId="0" applyFont="1" applyBorder="1" applyAlignment="1">
      <alignment horizontal="left" wrapText="1"/>
    </xf>
    <xf numFmtId="0" fontId="11" fillId="0" borderId="31" xfId="0" applyFont="1" applyBorder="1" applyAlignment="1">
      <alignment horizontal="left" wrapText="1"/>
    </xf>
    <xf numFmtId="0" fontId="11" fillId="0" borderId="0" xfId="0" applyFont="1" applyAlignment="1">
      <alignment horizontal="left" wrapText="1"/>
    </xf>
    <xf numFmtId="166" fontId="11" fillId="0" borderId="42" xfId="0" applyNumberFormat="1" applyFont="1" applyBorder="1" applyAlignment="1">
      <alignment vertical="center"/>
    </xf>
    <xf numFmtId="0" fontId="11" fillId="0" borderId="0" xfId="0" applyFont="1" applyAlignment="1">
      <alignment horizontal="left"/>
    </xf>
    <xf numFmtId="4" fontId="11" fillId="0" borderId="30" xfId="0" applyNumberFormat="1" applyFont="1" applyBorder="1" applyAlignment="1">
      <alignment horizontal="center" vertical="center"/>
    </xf>
    <xf numFmtId="0" fontId="1" fillId="0" borderId="28" xfId="0" applyFont="1" applyBorder="1"/>
    <xf numFmtId="0" fontId="31" fillId="0" borderId="28" xfId="0" applyFont="1" applyBorder="1" applyAlignment="1">
      <alignment horizontal="left" vertical="center" indent="3"/>
    </xf>
    <xf numFmtId="0" fontId="31" fillId="0" borderId="28" xfId="0" applyFont="1" applyBorder="1" applyAlignment="1">
      <alignment horizontal="left" vertical="center" wrapText="1" indent="3"/>
    </xf>
    <xf numFmtId="0" fontId="11" fillId="0" borderId="28" xfId="0" applyFont="1" applyBorder="1" applyAlignment="1">
      <alignment horizontal="left" indent="3"/>
    </xf>
    <xf numFmtId="0" fontId="15" fillId="0" borderId="31" xfId="0" applyFont="1" applyBorder="1" applyAlignment="1">
      <alignment horizontal="left"/>
    </xf>
    <xf numFmtId="0" fontId="27" fillId="0" borderId="31" xfId="0" applyFont="1" applyBorder="1" applyAlignment="1">
      <alignment horizontal="left" vertical="center"/>
    </xf>
    <xf numFmtId="0" fontId="27" fillId="0" borderId="31" xfId="0" applyFont="1" applyBorder="1" applyAlignment="1">
      <alignment horizontal="left"/>
    </xf>
    <xf numFmtId="0" fontId="11" fillId="0" borderId="4" xfId="0" applyFont="1" applyBorder="1" applyAlignment="1">
      <alignment horizontal="center" vertical="center"/>
    </xf>
    <xf numFmtId="0" fontId="11" fillId="0" borderId="42" xfId="0" applyFont="1" applyBorder="1" applyAlignment="1">
      <alignment horizontal="center" vertical="center"/>
    </xf>
    <xf numFmtId="0" fontId="11" fillId="0" borderId="14" xfId="0" applyFont="1" applyBorder="1"/>
    <xf numFmtId="3" fontId="2" fillId="0" borderId="11" xfId="0" applyNumberFormat="1" applyFont="1" applyBorder="1" applyAlignment="1">
      <alignment horizontal="center" vertical="center"/>
    </xf>
    <xf numFmtId="3" fontId="2" fillId="0" borderId="31" xfId="0" applyNumberFormat="1" applyFont="1" applyBorder="1" applyAlignment="1">
      <alignment horizontal="center" vertical="center"/>
    </xf>
    <xf numFmtId="3" fontId="11" fillId="0" borderId="31" xfId="0" applyNumberFormat="1" applyFont="1" applyBorder="1" applyAlignment="1">
      <alignment vertical="center"/>
    </xf>
    <xf numFmtId="4" fontId="2" fillId="0" borderId="28" xfId="0" applyNumberFormat="1" applyFont="1" applyBorder="1" applyAlignment="1">
      <alignment vertical="center"/>
    </xf>
    <xf numFmtId="3" fontId="2" fillId="0" borderId="28" xfId="0" applyNumberFormat="1" applyFont="1" applyBorder="1" applyAlignment="1">
      <alignment vertical="center"/>
    </xf>
    <xf numFmtId="43" fontId="20" fillId="0" borderId="28" xfId="2" applyFont="1" applyBorder="1" applyAlignment="1">
      <alignment vertical="center"/>
    </xf>
    <xf numFmtId="0" fontId="11" fillId="0" borderId="28" xfId="0" applyFont="1" applyBorder="1" applyAlignment="1">
      <alignment vertical="center"/>
    </xf>
    <xf numFmtId="0" fontId="11" fillId="0" borderId="29" xfId="0" applyFont="1" applyBorder="1" applyAlignment="1">
      <alignment horizontal="center" vertical="center"/>
    </xf>
    <xf numFmtId="0" fontId="11" fillId="0" borderId="11" xfId="0" applyFont="1" applyBorder="1" applyAlignment="1">
      <alignment horizontal="center" vertical="center"/>
    </xf>
    <xf numFmtId="0" fontId="18" fillId="0" borderId="0" xfId="0" applyFont="1" applyAlignment="1">
      <alignment vertical="center"/>
    </xf>
    <xf numFmtId="0" fontId="17" fillId="0" borderId="19" xfId="0" applyFont="1" applyBorder="1" applyAlignment="1">
      <alignment vertical="center"/>
    </xf>
    <xf numFmtId="0" fontId="20" fillId="0" borderId="13" xfId="0" applyFont="1" applyBorder="1" applyAlignment="1">
      <alignment horizontal="center" vertical="center" wrapText="1"/>
    </xf>
    <xf numFmtId="0" fontId="17" fillId="0" borderId="0" xfId="0" applyFont="1" applyAlignment="1">
      <alignment vertical="center"/>
    </xf>
    <xf numFmtId="0" fontId="18" fillId="0" borderId="0" xfId="0" quotePrefix="1" applyFont="1" applyAlignment="1">
      <alignment vertical="center"/>
    </xf>
    <xf numFmtId="0" fontId="2" fillId="0" borderId="32" xfId="0" applyFont="1" applyBorder="1" applyAlignment="1">
      <alignment horizontal="center" vertical="center"/>
    </xf>
    <xf numFmtId="0" fontId="7" fillId="0" borderId="42" xfId="0" applyFont="1" applyBorder="1"/>
    <xf numFmtId="165" fontId="10" fillId="0" borderId="15" xfId="2" applyNumberFormat="1" applyFont="1" applyBorder="1" applyAlignment="1">
      <alignment vertical="top"/>
    </xf>
    <xf numFmtId="0" fontId="18" fillId="0" borderId="15" xfId="0" applyFont="1" applyBorder="1" applyAlignment="1">
      <alignment horizontal="center" vertical="center" wrapText="1"/>
    </xf>
    <xf numFmtId="0" fontId="18" fillId="0" borderId="15" xfId="0" applyFont="1" applyBorder="1" applyAlignment="1">
      <alignment horizontal="center" vertical="center"/>
    </xf>
    <xf numFmtId="0" fontId="20" fillId="0" borderId="15" xfId="0" applyFont="1" applyBorder="1" applyAlignment="1">
      <alignment horizontal="center" vertical="center"/>
    </xf>
    <xf numFmtId="0" fontId="20" fillId="0" borderId="15" xfId="0" quotePrefix="1" applyFont="1" applyBorder="1" applyAlignment="1">
      <alignment horizontal="center" vertical="center"/>
    </xf>
    <xf numFmtId="0" fontId="19" fillId="0" borderId="0" xfId="0" quotePrefix="1" applyFont="1" applyAlignment="1">
      <alignment horizontal="center" vertical="center" wrapText="1"/>
    </xf>
    <xf numFmtId="0" fontId="20" fillId="0" borderId="28" xfId="0" applyFont="1" applyBorder="1" applyAlignment="1">
      <alignment vertical="center"/>
    </xf>
    <xf numFmtId="0" fontId="20" fillId="0" borderId="30" xfId="0" applyFont="1" applyBorder="1" applyAlignment="1">
      <alignment vertical="center"/>
    </xf>
    <xf numFmtId="0" fontId="20" fillId="0" borderId="23" xfId="0" applyFont="1" applyBorder="1" applyAlignment="1">
      <alignment horizontal="center"/>
    </xf>
    <xf numFmtId="0" fontId="20" fillId="0" borderId="11" xfId="0" applyFont="1" applyBorder="1" applyAlignment="1">
      <alignment horizontal="center"/>
    </xf>
    <xf numFmtId="0" fontId="20" fillId="0" borderId="7" xfId="0" applyFont="1" applyBorder="1" applyAlignment="1">
      <alignment horizontal="center"/>
    </xf>
    <xf numFmtId="0" fontId="20" fillId="0" borderId="32" xfId="0" applyFont="1" applyBorder="1" applyAlignment="1">
      <alignment horizontal="center"/>
    </xf>
    <xf numFmtId="0" fontId="20" fillId="0" borderId="33" xfId="0" applyFont="1" applyBorder="1" applyAlignment="1">
      <alignment horizontal="center"/>
    </xf>
    <xf numFmtId="0" fontId="20" fillId="0" borderId="26" xfId="0" applyFont="1" applyBorder="1" applyAlignment="1">
      <alignment horizontal="center" vertical="center"/>
    </xf>
    <xf numFmtId="166" fontId="19" fillId="0" borderId="36" xfId="0" applyNumberFormat="1" applyFont="1" applyBorder="1" applyAlignment="1">
      <alignment horizontal="right" vertical="center"/>
    </xf>
    <xf numFmtId="166" fontId="20" fillId="0" borderId="36" xfId="0" applyNumberFormat="1" applyFont="1" applyBorder="1" applyAlignment="1">
      <alignment horizontal="right" vertical="center"/>
    </xf>
    <xf numFmtId="166" fontId="11" fillId="0" borderId="36" xfId="0" applyNumberFormat="1" applyFont="1" applyBorder="1" applyAlignment="1">
      <alignment horizontal="right" vertical="center"/>
    </xf>
    <xf numFmtId="166" fontId="2" fillId="0" borderId="36" xfId="0" applyNumberFormat="1" applyFont="1" applyBorder="1" applyAlignment="1">
      <alignment horizontal="right" vertical="center"/>
    </xf>
    <xf numFmtId="0" fontId="46" fillId="0" borderId="4" xfId="0" applyFont="1" applyBorder="1"/>
    <xf numFmtId="0" fontId="46" fillId="0" borderId="0" xfId="0" applyFont="1"/>
    <xf numFmtId="0" fontId="46" fillId="0" borderId="5" xfId="0" applyFont="1" applyBorder="1"/>
    <xf numFmtId="0" fontId="46" fillId="0" borderId="4" xfId="0" applyFont="1" applyBorder="1" applyAlignment="1">
      <alignment horizontal="center" vertical="center"/>
    </xf>
    <xf numFmtId="0" fontId="46" fillId="0" borderId="10" xfId="0" applyFont="1" applyBorder="1"/>
    <xf numFmtId="0" fontId="33" fillId="0" borderId="0" xfId="0" applyFont="1"/>
    <xf numFmtId="0" fontId="46" fillId="0" borderId="0" xfId="0" applyFont="1" applyAlignment="1">
      <alignment horizontal="center" vertical="top"/>
    </xf>
    <xf numFmtId="0" fontId="46" fillId="0" borderId="0" xfId="0" applyFont="1" applyAlignment="1">
      <alignment vertical="top"/>
    </xf>
    <xf numFmtId="0" fontId="46" fillId="0" borderId="18" xfId="0" applyFont="1" applyBorder="1"/>
    <xf numFmtId="0" fontId="46" fillId="0" borderId="19" xfId="0" applyFont="1" applyBorder="1" applyAlignment="1">
      <alignment horizontal="center" vertical="top"/>
    </xf>
    <xf numFmtId="0" fontId="46" fillId="0" borderId="19" xfId="0" applyFont="1" applyBorder="1"/>
    <xf numFmtId="0" fontId="46" fillId="0" borderId="4" xfId="0" applyFont="1" applyBorder="1" applyAlignment="1">
      <alignment horizontal="left"/>
    </xf>
    <xf numFmtId="0" fontId="46" fillId="0" borderId="25" xfId="0" applyFont="1" applyBorder="1"/>
    <xf numFmtId="0" fontId="46" fillId="0" borderId="9" xfId="0" applyFont="1" applyBorder="1"/>
    <xf numFmtId="0" fontId="46" fillId="0" borderId="0" xfId="0" applyFont="1" applyAlignment="1">
      <alignment horizontal="left"/>
    </xf>
    <xf numFmtId="0" fontId="46" fillId="0" borderId="5" xfId="0" applyFont="1" applyBorder="1" applyAlignment="1">
      <alignment horizontal="left"/>
    </xf>
    <xf numFmtId="165" fontId="19" fillId="0" borderId="17" xfId="2" applyNumberFormat="1" applyFont="1" applyBorder="1" applyAlignment="1">
      <alignment horizontal="right" vertical="center"/>
    </xf>
    <xf numFmtId="0" fontId="19" fillId="0" borderId="11" xfId="0" applyFont="1" applyBorder="1" applyAlignment="1">
      <alignment horizontal="center" vertical="center" wrapText="1"/>
    </xf>
    <xf numFmtId="0" fontId="19" fillId="0" borderId="7" xfId="0" applyFont="1" applyBorder="1" applyAlignment="1">
      <alignment horizontal="center" vertical="center" wrapText="1"/>
    </xf>
    <xf numFmtId="15" fontId="20" fillId="0" borderId="15" xfId="0" quotePrefix="1" applyNumberFormat="1" applyFont="1" applyBorder="1" applyAlignment="1">
      <alignment horizontal="center" vertical="center" wrapText="1"/>
    </xf>
    <xf numFmtId="0" fontId="19" fillId="0" borderId="0" xfId="0" applyFont="1" applyAlignment="1">
      <alignment horizontal="center" vertical="center" wrapText="1"/>
    </xf>
    <xf numFmtId="0" fontId="33" fillId="0" borderId="12" xfId="0" applyFont="1" applyBorder="1" applyAlignment="1">
      <alignment horizontal="left" vertical="center"/>
    </xf>
    <xf numFmtId="0" fontId="33" fillId="0" borderId="22" xfId="0" applyFont="1" applyBorder="1" applyAlignment="1">
      <alignment horizontal="left" vertical="center"/>
    </xf>
    <xf numFmtId="0" fontId="33" fillId="0" borderId="13" xfId="0" applyFont="1" applyBorder="1" applyAlignment="1">
      <alignment horizontal="left" vertical="center"/>
    </xf>
    <xf numFmtId="0" fontId="20" fillId="0" borderId="11" xfId="0" applyFont="1" applyBorder="1" applyAlignment="1">
      <alignment horizontal="center" vertical="center"/>
    </xf>
    <xf numFmtId="0" fontId="20" fillId="0" borderId="7" xfId="0" applyFont="1" applyBorder="1" applyAlignment="1">
      <alignment horizontal="center" vertical="center"/>
    </xf>
    <xf numFmtId="0" fontId="20" fillId="0" borderId="14" xfId="0" applyFont="1" applyBorder="1" applyAlignment="1">
      <alignment horizontal="center" vertical="center"/>
    </xf>
    <xf numFmtId="0" fontId="20" fillId="0" borderId="6" xfId="0" applyFont="1" applyBorder="1" applyAlignment="1">
      <alignment horizontal="center" vertical="center"/>
    </xf>
    <xf numFmtId="0" fontId="19" fillId="0" borderId="11" xfId="0" applyFont="1" applyBorder="1" applyAlignment="1">
      <alignment horizontal="center" vertical="center" wrapText="1"/>
    </xf>
    <xf numFmtId="0" fontId="19" fillId="0" borderId="34"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35" xfId="0" applyFont="1" applyBorder="1" applyAlignment="1">
      <alignment horizontal="center" vertical="center" wrapText="1"/>
    </xf>
    <xf numFmtId="0" fontId="11" fillId="0" borderId="29" xfId="0" applyFont="1" applyBorder="1" applyAlignment="1">
      <alignment horizontal="left" vertical="center"/>
    </xf>
    <xf numFmtId="0" fontId="11" fillId="0" borderId="41" xfId="0" applyFont="1" applyBorder="1" applyAlignment="1">
      <alignment horizontal="left" vertical="center"/>
    </xf>
    <xf numFmtId="0" fontId="19" fillId="0" borderId="15" xfId="0" applyFont="1" applyBorder="1" applyAlignment="1">
      <alignment horizontal="left" vertical="center" wrapText="1"/>
    </xf>
    <xf numFmtId="0" fontId="20" fillId="0" borderId="31" xfId="0" applyFont="1" applyBorder="1" applyAlignment="1">
      <alignment horizontal="center" vertical="center"/>
    </xf>
    <xf numFmtId="0" fontId="20" fillId="0" borderId="30" xfId="0" applyFont="1" applyBorder="1" applyAlignment="1">
      <alignment horizontal="center" vertical="center"/>
    </xf>
    <xf numFmtId="0" fontId="20" fillId="0" borderId="38" xfId="0" applyFont="1" applyBorder="1" applyAlignment="1">
      <alignment horizontal="center" vertical="center"/>
    </xf>
    <xf numFmtId="0" fontId="20" fillId="0" borderId="39" xfId="0" applyFont="1" applyBorder="1" applyAlignment="1">
      <alignment horizontal="center" vertical="center"/>
    </xf>
    <xf numFmtId="0" fontId="19" fillId="0" borderId="11" xfId="0" applyFont="1" applyBorder="1" applyAlignment="1">
      <alignment horizontal="center" vertical="center"/>
    </xf>
    <xf numFmtId="0" fontId="19" fillId="0" borderId="34" xfId="0" applyFont="1" applyBorder="1" applyAlignment="1">
      <alignment horizontal="center" vertical="center"/>
    </xf>
    <xf numFmtId="0" fontId="19" fillId="0" borderId="31" xfId="0" applyFont="1" applyBorder="1" applyAlignment="1">
      <alignment horizontal="center" vertical="center"/>
    </xf>
    <xf numFmtId="0" fontId="19" fillId="0" borderId="5" xfId="0" applyFont="1" applyBorder="1" applyAlignment="1">
      <alignment horizontal="center" vertical="center"/>
    </xf>
    <xf numFmtId="0" fontId="19" fillId="0" borderId="38" xfId="0" applyFont="1" applyBorder="1" applyAlignment="1">
      <alignment horizontal="center" vertical="center"/>
    </xf>
    <xf numFmtId="0" fontId="19" fillId="0" borderId="9" xfId="0" applyFont="1" applyBorder="1" applyAlignment="1">
      <alignment horizontal="center" vertical="center"/>
    </xf>
    <xf numFmtId="0" fontId="11" fillId="0" borderId="29" xfId="0" applyFont="1" applyBorder="1" applyAlignment="1">
      <alignment horizontal="left" vertical="center" wrapText="1"/>
    </xf>
    <xf numFmtId="0" fontId="11" fillId="0" borderId="37" xfId="0" applyFont="1" applyBorder="1" applyAlignment="1">
      <alignment horizontal="left" vertical="center" wrapText="1"/>
    </xf>
    <xf numFmtId="0" fontId="32" fillId="0" borderId="11" xfId="1" quotePrefix="1" applyFont="1" applyBorder="1" applyAlignment="1">
      <alignment horizontal="left" vertical="center"/>
    </xf>
    <xf numFmtId="0" fontId="32" fillId="0" borderId="24" xfId="1" applyFont="1" applyBorder="1" applyAlignment="1">
      <alignment horizontal="left" vertical="center"/>
    </xf>
    <xf numFmtId="0" fontId="32" fillId="0" borderId="7" xfId="1" applyFont="1" applyBorder="1" applyAlignment="1">
      <alignment horizontal="left" vertical="center"/>
    </xf>
    <xf numFmtId="0" fontId="32" fillId="0" borderId="38" xfId="1" applyFont="1" applyBorder="1" applyAlignment="1">
      <alignment horizontal="left" vertical="center"/>
    </xf>
    <xf numFmtId="0" fontId="32" fillId="0" borderId="10" xfId="1" applyFont="1" applyBorder="1" applyAlignment="1">
      <alignment horizontal="left" vertical="center"/>
    </xf>
    <xf numFmtId="0" fontId="32" fillId="0" borderId="39" xfId="1" applyFont="1" applyBorder="1" applyAlignment="1">
      <alignment horizontal="left" vertical="center"/>
    </xf>
    <xf numFmtId="0" fontId="46" fillId="0" borderId="8" xfId="0" applyFont="1" applyBorder="1" applyAlignment="1">
      <alignment horizontal="left"/>
    </xf>
    <xf numFmtId="0" fontId="46" fillId="0" borderId="10" xfId="0" applyFont="1" applyBorder="1" applyAlignment="1">
      <alignment horizontal="left"/>
    </xf>
    <xf numFmtId="0" fontId="1" fillId="0" borderId="40" xfId="0" applyFont="1" applyBorder="1" applyAlignment="1">
      <alignment horizontal="center" vertical="center"/>
    </xf>
    <xf numFmtId="0" fontId="1" fillId="0" borderId="26" xfId="0" applyFont="1" applyBorder="1" applyAlignment="1">
      <alignment horizontal="center" vertical="center"/>
    </xf>
    <xf numFmtId="0" fontId="1" fillId="0" borderId="41" xfId="0" applyFont="1" applyBorder="1" applyAlignment="1">
      <alignment horizontal="center" vertical="center"/>
    </xf>
    <xf numFmtId="0" fontId="44" fillId="0" borderId="43" xfId="0" applyFont="1" applyBorder="1" applyAlignment="1">
      <alignment horizontal="center" vertical="center" wrapText="1"/>
    </xf>
    <xf numFmtId="0" fontId="44" fillId="0" borderId="3" xfId="0" applyFont="1" applyBorder="1" applyAlignment="1">
      <alignment horizontal="center" vertical="center" wrapText="1"/>
    </xf>
    <xf numFmtId="0" fontId="44" fillId="0" borderId="44" xfId="0" applyFont="1" applyBorder="1" applyAlignment="1">
      <alignment horizontal="center" vertical="center" wrapText="1"/>
    </xf>
    <xf numFmtId="0" fontId="44" fillId="0" borderId="14" xfId="0" applyFont="1" applyBorder="1" applyAlignment="1">
      <alignment horizontal="center" vertical="center" wrapText="1"/>
    </xf>
    <xf numFmtId="0" fontId="44" fillId="0" borderId="19" xfId="0" applyFont="1" applyBorder="1" applyAlignment="1">
      <alignment horizontal="center" vertical="center" wrapText="1"/>
    </xf>
    <xf numFmtId="0" fontId="44" fillId="0" borderId="6" xfId="0" applyFont="1" applyBorder="1" applyAlignment="1">
      <alignment horizontal="center" vertical="center" wrapText="1"/>
    </xf>
    <xf numFmtId="0" fontId="20" fillId="0" borderId="43" xfId="0" applyFont="1" applyBorder="1" applyAlignment="1">
      <alignment horizontal="center" vertical="center" wrapText="1"/>
    </xf>
    <xf numFmtId="0" fontId="20" fillId="0" borderId="44"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6" xfId="0" applyFont="1" applyBorder="1" applyAlignment="1">
      <alignment horizontal="center" vertical="center" wrapText="1"/>
    </xf>
    <xf numFmtId="14" fontId="19" fillId="0" borderId="43" xfId="0" quotePrefix="1" applyNumberFormat="1" applyFont="1" applyBorder="1" applyAlignment="1">
      <alignment horizontal="center" vertical="center"/>
    </xf>
    <xf numFmtId="14" fontId="19" fillId="0" borderId="2" xfId="0" quotePrefix="1" applyNumberFormat="1" applyFont="1" applyBorder="1" applyAlignment="1">
      <alignment horizontal="center" vertical="center"/>
    </xf>
    <xf numFmtId="14" fontId="19" fillId="0" borderId="31" xfId="0" quotePrefix="1" applyNumberFormat="1" applyFont="1" applyBorder="1" applyAlignment="1">
      <alignment horizontal="center" vertical="center"/>
    </xf>
    <xf numFmtId="14" fontId="19" fillId="0" borderId="5" xfId="0" quotePrefix="1" applyNumberFormat="1" applyFont="1" applyBorder="1" applyAlignment="1">
      <alignment horizontal="center" vertical="center"/>
    </xf>
    <xf numFmtId="14" fontId="19" fillId="0" borderId="14" xfId="0" quotePrefix="1" applyNumberFormat="1" applyFont="1" applyBorder="1" applyAlignment="1">
      <alignment horizontal="center" vertical="center"/>
    </xf>
    <xf numFmtId="14" fontId="19" fillId="0" borderId="35" xfId="0" quotePrefix="1" applyNumberFormat="1" applyFont="1" applyBorder="1" applyAlignment="1">
      <alignment horizontal="center" vertical="center"/>
    </xf>
    <xf numFmtId="0" fontId="9" fillId="0" borderId="11" xfId="0" applyFont="1" applyBorder="1" applyAlignment="1">
      <alignment horizontal="center" vertical="center"/>
    </xf>
    <xf numFmtId="0" fontId="9" fillId="0" borderId="24" xfId="0" applyFont="1" applyBorder="1" applyAlignment="1">
      <alignment horizontal="center" vertical="center"/>
    </xf>
    <xf numFmtId="0" fontId="9" fillId="0" borderId="7" xfId="0" applyFont="1" applyBorder="1" applyAlignment="1">
      <alignment horizontal="center" vertical="center"/>
    </xf>
    <xf numFmtId="0" fontId="9" fillId="0" borderId="14" xfId="0" applyFont="1" applyBorder="1" applyAlignment="1">
      <alignment horizontal="center" vertical="center"/>
    </xf>
    <xf numFmtId="0" fontId="9" fillId="0" borderId="19" xfId="0" applyFont="1" applyBorder="1" applyAlignment="1">
      <alignment horizontal="center" vertical="center"/>
    </xf>
    <xf numFmtId="0" fontId="9" fillId="0" borderId="6"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15" fontId="19" fillId="0" borderId="12" xfId="0" quotePrefix="1" applyNumberFormat="1" applyFont="1" applyBorder="1" applyAlignment="1">
      <alignment horizontal="center" vertical="center"/>
    </xf>
    <xf numFmtId="0" fontId="19" fillId="0" borderId="21" xfId="0" applyFont="1" applyBorder="1" applyAlignment="1">
      <alignment horizontal="center" vertical="center"/>
    </xf>
    <xf numFmtId="0" fontId="2" fillId="0" borderId="1" xfId="0" applyFont="1" applyBorder="1" applyAlignment="1">
      <alignment horizontal="left"/>
    </xf>
    <xf numFmtId="0" fontId="2" fillId="0" borderId="3" xfId="0" applyFont="1" applyBorder="1" applyAlignment="1">
      <alignment horizontal="left"/>
    </xf>
    <xf numFmtId="0" fontId="2" fillId="0" borderId="2" xfId="0" applyFont="1" applyBorder="1" applyAlignment="1">
      <alignment horizontal="left"/>
    </xf>
    <xf numFmtId="0" fontId="8" fillId="0" borderId="4" xfId="0" applyFont="1" applyBorder="1" applyAlignment="1">
      <alignment horizontal="left"/>
    </xf>
    <xf numFmtId="0" fontId="8" fillId="0" borderId="0" xfId="0" applyFont="1" applyAlignment="1">
      <alignment horizontal="left"/>
    </xf>
    <xf numFmtId="0" fontId="8" fillId="0" borderId="5" xfId="0" applyFont="1" applyBorder="1" applyAlignment="1">
      <alignment horizontal="left"/>
    </xf>
    <xf numFmtId="0" fontId="20" fillId="0" borderId="23" xfId="0" applyFont="1" applyBorder="1" applyAlignment="1">
      <alignment horizontal="center" vertical="center" wrapText="1"/>
    </xf>
    <xf numFmtId="0" fontId="20" fillId="0" borderId="4" xfId="0" applyFont="1" applyBorder="1" applyAlignment="1">
      <alignment horizontal="center" vertical="center" wrapText="1"/>
    </xf>
    <xf numFmtId="0" fontId="19" fillId="0" borderId="24"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12" xfId="0" quotePrefix="1" applyFont="1" applyBorder="1" applyAlignment="1">
      <alignment horizontal="left" vertical="center" wrapText="1"/>
    </xf>
    <xf numFmtId="0" fontId="19" fillId="0" borderId="22" xfId="0" quotePrefix="1" applyFont="1" applyBorder="1" applyAlignment="1">
      <alignment horizontal="left" vertical="center" wrapText="1"/>
    </xf>
    <xf numFmtId="0" fontId="19" fillId="0" borderId="21" xfId="0" quotePrefix="1" applyFont="1" applyBorder="1" applyAlignment="1">
      <alignment horizontal="left" vertical="center" wrapText="1"/>
    </xf>
    <xf numFmtId="0" fontId="19" fillId="0" borderId="12"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21" xfId="0" applyFont="1" applyBorder="1" applyAlignment="1">
      <alignment horizontal="center" vertical="center" wrapText="1"/>
    </xf>
    <xf numFmtId="0" fontId="34" fillId="0" borderId="31" xfId="0" applyFont="1" applyBorder="1" applyAlignment="1">
      <alignment horizontal="center"/>
    </xf>
    <xf numFmtId="0" fontId="1" fillId="0" borderId="0" xfId="0" applyFont="1" applyAlignment="1">
      <alignment horizontal="center"/>
    </xf>
    <xf numFmtId="0" fontId="1" fillId="0" borderId="30" xfId="0" applyFont="1" applyBorder="1" applyAlignment="1">
      <alignment horizont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34" fillId="0" borderId="31" xfId="0" applyFont="1" applyBorder="1" applyAlignment="1">
      <alignment horizontal="left" wrapText="1"/>
    </xf>
    <xf numFmtId="0" fontId="34" fillId="0" borderId="0" xfId="0" applyFont="1" applyAlignment="1">
      <alignment horizontal="left" wrapText="1"/>
    </xf>
    <xf numFmtId="0" fontId="20" fillId="0" borderId="11" xfId="0" applyFont="1" applyBorder="1" applyAlignment="1">
      <alignment horizontal="center"/>
    </xf>
    <xf numFmtId="0" fontId="20" fillId="0" borderId="24" xfId="0" applyFont="1" applyBorder="1" applyAlignment="1">
      <alignment horizontal="center"/>
    </xf>
    <xf numFmtId="0" fontId="20" fillId="0" borderId="7" xfId="0" applyFont="1" applyBorder="1" applyAlignment="1">
      <alignment horizontal="center"/>
    </xf>
    <xf numFmtId="0" fontId="19" fillId="0" borderId="24" xfId="0" quotePrefix="1" applyFont="1" applyBorder="1" applyAlignment="1">
      <alignment horizontal="left" vertical="center" wrapText="1"/>
    </xf>
    <xf numFmtId="0" fontId="19" fillId="0" borderId="7" xfId="0" quotePrefix="1" applyFont="1" applyBorder="1" applyAlignment="1">
      <alignment horizontal="left" vertical="center" wrapText="1"/>
    </xf>
    <xf numFmtId="0" fontId="19" fillId="0" borderId="0" xfId="0" quotePrefix="1" applyFont="1" applyAlignment="1">
      <alignment horizontal="left" vertical="center" wrapText="1"/>
    </xf>
    <xf numFmtId="0" fontId="17" fillId="0" borderId="31" xfId="0" quotePrefix="1" applyFont="1" applyBorder="1" applyAlignment="1">
      <alignment vertical="center" wrapText="1"/>
    </xf>
    <xf numFmtId="0" fontId="17" fillId="0" borderId="0" xfId="0" quotePrefix="1" applyFont="1" applyAlignment="1">
      <alignment vertical="center" wrapText="1"/>
    </xf>
    <xf numFmtId="0" fontId="17" fillId="0" borderId="30" xfId="0" quotePrefix="1" applyFont="1" applyBorder="1" applyAlignment="1">
      <alignment vertical="center" wrapText="1"/>
    </xf>
    <xf numFmtId="0" fontId="17" fillId="0" borderId="0" xfId="0" quotePrefix="1" applyFont="1" applyAlignment="1">
      <alignment horizontal="left" vertical="top" wrapText="1"/>
    </xf>
    <xf numFmtId="0" fontId="18" fillId="0" borderId="0" xfId="0" quotePrefix="1" applyFont="1" applyAlignment="1">
      <alignment horizontal="left" vertical="top" wrapText="1"/>
    </xf>
    <xf numFmtId="0" fontId="45" fillId="0" borderId="0" xfId="0" quotePrefix="1" applyFont="1" applyAlignment="1">
      <alignment horizontal="left" vertical="top" wrapText="1"/>
    </xf>
    <xf numFmtId="0" fontId="45" fillId="0" borderId="30" xfId="0" quotePrefix="1" applyFont="1" applyBorder="1" applyAlignment="1">
      <alignment horizontal="left" vertical="top" wrapText="1"/>
    </xf>
    <xf numFmtId="0" fontId="19" fillId="0" borderId="12" xfId="0" applyFont="1" applyBorder="1" applyAlignment="1">
      <alignment horizontal="left" vertical="center" wrapText="1"/>
    </xf>
    <xf numFmtId="0" fontId="19" fillId="0" borderId="22" xfId="0" applyFont="1" applyBorder="1" applyAlignment="1">
      <alignment horizontal="left" vertical="center" wrapText="1"/>
    </xf>
    <xf numFmtId="0" fontId="19" fillId="0" borderId="13" xfId="0" applyFont="1" applyBorder="1" applyAlignment="1">
      <alignment horizontal="left" vertical="center" wrapText="1"/>
    </xf>
    <xf numFmtId="0" fontId="19" fillId="0" borderId="31" xfId="0" quotePrefix="1" applyFont="1" applyBorder="1" applyAlignment="1">
      <alignment horizontal="left" vertical="top" wrapText="1"/>
    </xf>
    <xf numFmtId="0" fontId="19" fillId="0" borderId="0" xfId="0" applyFont="1" applyAlignment="1">
      <alignment horizontal="left" vertical="top" wrapText="1"/>
    </xf>
    <xf numFmtId="0" fontId="19" fillId="0" borderId="30" xfId="0" applyFont="1" applyBorder="1" applyAlignment="1">
      <alignment horizontal="left" vertical="top" wrapText="1"/>
    </xf>
    <xf numFmtId="0" fontId="34" fillId="0" borderId="30" xfId="0" applyFont="1" applyBorder="1" applyAlignment="1">
      <alignment horizontal="left" wrapText="1"/>
    </xf>
    <xf numFmtId="0" fontId="20" fillId="0" borderId="0" xfId="0" applyFont="1" applyAlignment="1">
      <alignment horizontal="left" wrapText="1"/>
    </xf>
    <xf numFmtId="0" fontId="20" fillId="0" borderId="30" xfId="0" applyFont="1" applyBorder="1" applyAlignment="1">
      <alignment horizontal="left" wrapText="1"/>
    </xf>
    <xf numFmtId="0" fontId="20" fillId="0" borderId="0" xfId="0" quotePrefix="1" applyFont="1" applyAlignment="1">
      <alignment horizontal="left" wrapText="1"/>
    </xf>
    <xf numFmtId="0" fontId="33" fillId="0" borderId="31" xfId="0" quotePrefix="1" applyFont="1" applyBorder="1" applyAlignment="1">
      <alignment horizontal="left" vertical="center"/>
    </xf>
    <xf numFmtId="0" fontId="33" fillId="0" borderId="0" xfId="0" quotePrefix="1" applyFont="1" applyAlignment="1">
      <alignment horizontal="left" vertical="center"/>
    </xf>
    <xf numFmtId="0" fontId="33" fillId="0" borderId="30" xfId="0" quotePrefix="1" applyFont="1" applyBorder="1" applyAlignment="1">
      <alignment horizontal="left" vertical="center"/>
    </xf>
    <xf numFmtId="0" fontId="19" fillId="0" borderId="14" xfId="0" quotePrefix="1" applyFont="1" applyBorder="1" applyAlignment="1">
      <alignment horizontal="left" vertical="center"/>
    </xf>
    <xf numFmtId="0" fontId="19" fillId="0" borderId="19" xfId="0" quotePrefix="1" applyFont="1" applyBorder="1" applyAlignment="1">
      <alignment horizontal="left" vertical="center"/>
    </xf>
    <xf numFmtId="0" fontId="19" fillId="0" borderId="6" xfId="0" quotePrefix="1" applyFont="1" applyBorder="1" applyAlignment="1">
      <alignment horizontal="left" vertical="center"/>
    </xf>
    <xf numFmtId="0" fontId="20" fillId="0" borderId="15" xfId="0" applyFont="1" applyBorder="1" applyAlignment="1">
      <alignment horizontal="left" vertical="center" wrapText="1"/>
    </xf>
    <xf numFmtId="0" fontId="19" fillId="0" borderId="15" xfId="0" applyFont="1" applyBorder="1" applyAlignment="1">
      <alignment horizontal="left" vertical="top" wrapText="1"/>
    </xf>
    <xf numFmtId="0" fontId="20" fillId="0" borderId="15" xfId="0" applyFont="1" applyBorder="1" applyAlignment="1">
      <alignment horizontal="left" vertical="top" wrapText="1"/>
    </xf>
    <xf numFmtId="0" fontId="19" fillId="0" borderId="12" xfId="0" applyFont="1" applyBorder="1" applyAlignment="1">
      <alignment horizontal="left" vertical="top" wrapText="1"/>
    </xf>
    <xf numFmtId="0" fontId="19" fillId="0" borderId="22" xfId="0" applyFont="1" applyBorder="1" applyAlignment="1">
      <alignment horizontal="left" vertical="top" wrapText="1"/>
    </xf>
    <xf numFmtId="0" fontId="19" fillId="0" borderId="13" xfId="0" applyFont="1" applyBorder="1" applyAlignment="1">
      <alignment horizontal="left" vertical="top" wrapText="1"/>
    </xf>
    <xf numFmtId="0" fontId="19" fillId="0" borderId="13" xfId="0" applyFont="1" applyBorder="1" applyAlignment="1">
      <alignment horizontal="center" vertical="center" wrapText="1"/>
    </xf>
    <xf numFmtId="0" fontId="48" fillId="0" borderId="23" xfId="0" applyFont="1" applyBorder="1" applyAlignment="1">
      <alignment horizontal="left"/>
    </xf>
    <xf numFmtId="0" fontId="48" fillId="0" borderId="24" xfId="0" applyFont="1" applyBorder="1" applyAlignment="1">
      <alignment horizontal="left"/>
    </xf>
    <xf numFmtId="0" fontId="48" fillId="0" borderId="34" xfId="0" applyFont="1" applyBorder="1" applyAlignment="1">
      <alignment horizontal="left"/>
    </xf>
    <xf numFmtId="0" fontId="20" fillId="0" borderId="20" xfId="0" applyFont="1" applyBorder="1" applyAlignment="1">
      <alignment horizontal="left" vertical="center"/>
    </xf>
    <xf numFmtId="0" fontId="20" fillId="0" borderId="22" xfId="0" applyFont="1" applyBorder="1" applyAlignment="1">
      <alignment horizontal="left" vertical="center"/>
    </xf>
    <xf numFmtId="0" fontId="20" fillId="0" borderId="21" xfId="0" applyFont="1" applyBorder="1" applyAlignment="1">
      <alignment horizontal="left" vertical="center"/>
    </xf>
    <xf numFmtId="0" fontId="33" fillId="0" borderId="4" xfId="0" applyFont="1" applyBorder="1" applyAlignment="1">
      <alignment horizontal="center"/>
    </xf>
    <xf numFmtId="0" fontId="33" fillId="0" borderId="0" xfId="0" applyFont="1" applyAlignment="1">
      <alignment horizontal="center"/>
    </xf>
    <xf numFmtId="0" fontId="46" fillId="0" borderId="19" xfId="0" applyFont="1" applyBorder="1" applyAlignment="1">
      <alignment horizontal="center" vertical="top"/>
    </xf>
    <xf numFmtId="0" fontId="47" fillId="0" borderId="0" xfId="0" applyFont="1" applyAlignment="1">
      <alignment horizontal="center"/>
    </xf>
    <xf numFmtId="0" fontId="20" fillId="0" borderId="0" xfId="0" applyFont="1" applyAlignment="1">
      <alignment horizontal="center" vertical="top"/>
    </xf>
    <xf numFmtId="0" fontId="46" fillId="0" borderId="0" xfId="0" applyFont="1" applyAlignment="1">
      <alignment horizontal="center"/>
    </xf>
    <xf numFmtId="0" fontId="11" fillId="0" borderId="16" xfId="0" applyFont="1" applyBorder="1" applyAlignment="1">
      <alignment horizontal="left" vertical="center"/>
    </xf>
    <xf numFmtId="0" fontId="10" fillId="0" borderId="43"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4"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6" xfId="0" applyFont="1" applyBorder="1" applyAlignment="1">
      <alignment horizontal="center" vertical="center" wrapText="1"/>
    </xf>
    <xf numFmtId="0" fontId="23" fillId="0" borderId="11" xfId="1" quotePrefix="1" applyFont="1" applyBorder="1" applyAlignment="1">
      <alignment horizontal="left" vertical="center"/>
    </xf>
    <xf numFmtId="0" fontId="23" fillId="0" borderId="24" xfId="1" applyFont="1" applyBorder="1" applyAlignment="1">
      <alignment horizontal="left" vertical="center"/>
    </xf>
    <xf numFmtId="0" fontId="23" fillId="0" borderId="7" xfId="1" applyFont="1" applyBorder="1" applyAlignment="1">
      <alignment horizontal="left" vertical="center"/>
    </xf>
    <xf numFmtId="0" fontId="23" fillId="0" borderId="38" xfId="1" applyFont="1" applyBorder="1" applyAlignment="1">
      <alignment horizontal="left" vertical="center"/>
    </xf>
    <xf numFmtId="0" fontId="23" fillId="0" borderId="10" xfId="1" applyFont="1" applyBorder="1" applyAlignment="1">
      <alignment horizontal="left" vertical="center"/>
    </xf>
    <xf numFmtId="0" fontId="23" fillId="0" borderId="39" xfId="1" applyFont="1" applyBorder="1" applyAlignment="1">
      <alignment horizontal="left" vertical="center"/>
    </xf>
    <xf numFmtId="0" fontId="1" fillId="0" borderId="1" xfId="0" applyFont="1" applyBorder="1" applyAlignment="1">
      <alignment horizontal="left" vertical="center"/>
    </xf>
    <xf numFmtId="0" fontId="1" fillId="0" borderId="3" xfId="0" applyFont="1" applyBorder="1" applyAlignment="1">
      <alignment horizontal="left" vertical="center"/>
    </xf>
    <xf numFmtId="0" fontId="1" fillId="0" borderId="2" xfId="0" applyFont="1" applyBorder="1" applyAlignment="1">
      <alignment horizontal="left" vertical="center"/>
    </xf>
    <xf numFmtId="0" fontId="10" fillId="0" borderId="4" xfId="0" applyFont="1" applyBorder="1" applyAlignment="1">
      <alignment horizontal="left"/>
    </xf>
    <xf numFmtId="0" fontId="10" fillId="0" borderId="0" xfId="0" applyFont="1" applyAlignment="1">
      <alignment horizontal="left"/>
    </xf>
    <xf numFmtId="0" fontId="10" fillId="0" borderId="5" xfId="0" applyFont="1" applyBorder="1" applyAlignment="1">
      <alignment horizontal="left"/>
    </xf>
    <xf numFmtId="0" fontId="11" fillId="0" borderId="2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3" fillId="0" borderId="12" xfId="0" quotePrefix="1" applyFont="1" applyBorder="1" applyAlignment="1">
      <alignment horizontal="center" vertical="center" wrapText="1"/>
    </xf>
    <xf numFmtId="0" fontId="3" fillId="0" borderId="22" xfId="0" quotePrefix="1" applyFont="1" applyBorder="1" applyAlignment="1">
      <alignment horizontal="center" vertical="center" wrapText="1"/>
    </xf>
    <xf numFmtId="0" fontId="3" fillId="0" borderId="21" xfId="0" quotePrefix="1" applyFont="1" applyBorder="1" applyAlignment="1">
      <alignment horizontal="center" vertical="center" wrapText="1"/>
    </xf>
    <xf numFmtId="0" fontId="10" fillId="0" borderId="12"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1" xfId="0" applyFont="1" applyBorder="1" applyAlignment="1">
      <alignment horizontal="center" vertical="center" wrapText="1"/>
    </xf>
    <xf numFmtId="0" fontId="1" fillId="0" borderId="11" xfId="0" applyFont="1" applyBorder="1" applyAlignment="1">
      <alignment horizontal="center"/>
    </xf>
    <xf numFmtId="0" fontId="1" fillId="0" borderId="24" xfId="0" applyFont="1" applyBorder="1" applyAlignment="1">
      <alignment horizontal="center"/>
    </xf>
    <xf numFmtId="0" fontId="1" fillId="0" borderId="7" xfId="0" applyFont="1" applyBorder="1" applyAlignment="1">
      <alignment horizontal="center"/>
    </xf>
    <xf numFmtId="0" fontId="19" fillId="0" borderId="11" xfId="0" quotePrefix="1" applyFont="1" applyBorder="1" applyAlignment="1">
      <alignment horizontal="center" vertical="center" wrapText="1"/>
    </xf>
    <xf numFmtId="0" fontId="19" fillId="0" borderId="24" xfId="0" quotePrefix="1" applyFont="1" applyBorder="1" applyAlignment="1">
      <alignment horizontal="center" vertical="center" wrapText="1"/>
    </xf>
    <xf numFmtId="0" fontId="19" fillId="0" borderId="7" xfId="0" quotePrefix="1" applyFont="1" applyBorder="1" applyAlignment="1">
      <alignment horizontal="center" vertical="center" wrapText="1"/>
    </xf>
    <xf numFmtId="0" fontId="19" fillId="0" borderId="31" xfId="0" quotePrefix="1" applyFont="1" applyBorder="1" applyAlignment="1">
      <alignment horizontal="center" vertical="center" wrapText="1"/>
    </xf>
    <xf numFmtId="0" fontId="19" fillId="0" borderId="0" xfId="0" quotePrefix="1" applyFont="1" applyAlignment="1">
      <alignment horizontal="center" vertical="center" wrapText="1"/>
    </xf>
    <xf numFmtId="0" fontId="19" fillId="0" borderId="15" xfId="0" applyFont="1" applyBorder="1" applyAlignment="1">
      <alignment horizontal="center" vertical="center" wrapText="1"/>
    </xf>
    <xf numFmtId="0" fontId="20" fillId="0" borderId="15" xfId="0" quotePrefix="1" applyFont="1" applyBorder="1" applyAlignment="1">
      <alignment vertical="center" wrapText="1"/>
    </xf>
    <xf numFmtId="0" fontId="20" fillId="0" borderId="32" xfId="0" applyFont="1" applyBorder="1" applyAlignment="1">
      <alignment horizontal="center" vertical="center" wrapText="1"/>
    </xf>
    <xf numFmtId="0" fontId="20" fillId="0" borderId="28" xfId="0" applyFont="1" applyBorder="1" applyAlignment="1">
      <alignment horizontal="center" vertical="center" wrapText="1"/>
    </xf>
    <xf numFmtId="0" fontId="20" fillId="0" borderId="42" xfId="0" applyFont="1" applyBorder="1" applyAlignment="1">
      <alignment horizontal="center" vertical="center" wrapText="1"/>
    </xf>
    <xf numFmtId="0" fontId="20" fillId="0" borderId="15" xfId="0" applyFont="1" applyBorder="1" applyAlignment="1">
      <alignment vertical="center" wrapText="1"/>
    </xf>
    <xf numFmtId="0" fontId="17" fillId="0" borderId="31" xfId="0" applyFont="1" applyBorder="1" applyAlignment="1">
      <alignment horizontal="left" vertical="center" wrapText="1"/>
    </xf>
    <xf numFmtId="0" fontId="17" fillId="0" borderId="0" xfId="0" applyFont="1" applyAlignment="1">
      <alignment horizontal="left" vertical="center" wrapText="1"/>
    </xf>
    <xf numFmtId="0" fontId="17" fillId="0" borderId="30" xfId="0" applyFont="1" applyBorder="1" applyAlignment="1">
      <alignment horizontal="left" vertical="center" wrapText="1"/>
    </xf>
    <xf numFmtId="0" fontId="17" fillId="0" borderId="31" xfId="0" applyFont="1" applyBorder="1" applyAlignment="1">
      <alignment horizontal="left" vertical="center"/>
    </xf>
    <xf numFmtId="0" fontId="17" fillId="0" borderId="0" xfId="0" applyFont="1" applyAlignment="1">
      <alignment horizontal="left" vertical="center"/>
    </xf>
    <xf numFmtId="0" fontId="17" fillId="0" borderId="30" xfId="0" applyFont="1" applyBorder="1" applyAlignment="1">
      <alignment horizontal="left" vertical="center"/>
    </xf>
    <xf numFmtId="0" fontId="20" fillId="0" borderId="15" xfId="0" applyFont="1" applyBorder="1" applyAlignment="1">
      <alignment horizontal="center" vertical="center" wrapText="1"/>
    </xf>
    <xf numFmtId="0" fontId="8" fillId="0" borderId="12" xfId="0" applyFont="1" applyBorder="1" applyAlignment="1">
      <alignment horizontal="center"/>
    </xf>
    <xf numFmtId="0" fontId="8" fillId="0" borderId="13" xfId="0" applyFont="1" applyBorder="1" applyAlignment="1">
      <alignment horizontal="center"/>
    </xf>
    <xf numFmtId="0" fontId="7" fillId="0" borderId="3" xfId="0" applyFont="1" applyBorder="1" applyAlignment="1">
      <alignment horizontal="center" vertical="top"/>
    </xf>
    <xf numFmtId="0" fontId="7" fillId="0" borderId="27" xfId="0" applyFont="1" applyBorder="1" applyAlignment="1">
      <alignment horizontal="center" vertical="top"/>
    </xf>
    <xf numFmtId="0" fontId="10" fillId="0" borderId="0" xfId="0" applyFont="1" applyAlignment="1">
      <alignment horizontal="center"/>
    </xf>
    <xf numFmtId="0" fontId="7" fillId="0" borderId="23" xfId="0" applyFont="1" applyBorder="1" applyAlignment="1">
      <alignment horizontal="left"/>
    </xf>
    <xf numFmtId="0" fontId="7" fillId="0" borderId="24" xfId="0" applyFont="1" applyBorder="1" applyAlignment="1">
      <alignment horizontal="left"/>
    </xf>
    <xf numFmtId="0" fontId="7" fillId="0" borderId="34" xfId="0" applyFont="1" applyBorder="1" applyAlignment="1">
      <alignment horizontal="left"/>
    </xf>
    <xf numFmtId="0" fontId="18" fillId="0" borderId="31" xfId="0" quotePrefix="1" applyFont="1" applyBorder="1" applyAlignment="1">
      <alignment horizontal="left" vertical="center" wrapText="1"/>
    </xf>
    <xf numFmtId="0" fontId="18" fillId="0" borderId="0" xfId="0" quotePrefix="1" applyFont="1" applyAlignment="1">
      <alignment horizontal="left" vertical="center" wrapText="1"/>
    </xf>
    <xf numFmtId="0" fontId="18" fillId="0" borderId="30" xfId="0" quotePrefix="1" applyFont="1" applyBorder="1" applyAlignment="1">
      <alignment horizontal="left" vertical="center" wrapText="1"/>
    </xf>
    <xf numFmtId="0" fontId="20" fillId="0" borderId="31" xfId="0" applyFont="1" applyBorder="1" applyAlignment="1">
      <alignment horizontal="left" wrapText="1"/>
    </xf>
    <xf numFmtId="0" fontId="34" fillId="0" borderId="31" xfId="0" applyFont="1" applyBorder="1" applyAlignment="1">
      <alignment horizontal="center" wrapText="1"/>
    </xf>
    <xf numFmtId="0" fontId="34" fillId="0" borderId="0" xfId="0" applyFont="1" applyAlignment="1">
      <alignment horizontal="center" wrapText="1"/>
    </xf>
    <xf numFmtId="0" fontId="34" fillId="0" borderId="30" xfId="0" applyFont="1" applyBorder="1" applyAlignment="1">
      <alignment horizontal="center" wrapText="1"/>
    </xf>
    <xf numFmtId="0" fontId="11" fillId="0" borderId="8" xfId="0" applyFont="1" applyBorder="1" applyAlignment="1">
      <alignment horizontal="left"/>
    </xf>
    <xf numFmtId="0" fontId="11" fillId="0" borderId="10" xfId="0" applyFont="1" applyBorder="1" applyAlignment="1">
      <alignment horizontal="left"/>
    </xf>
    <xf numFmtId="0" fontId="14" fillId="0" borderId="11" xfId="1" quotePrefix="1" applyFont="1" applyBorder="1" applyAlignment="1">
      <alignment horizontal="left" vertical="center"/>
    </xf>
    <xf numFmtId="0" fontId="14" fillId="0" borderId="24" xfId="1" applyFont="1" applyBorder="1" applyAlignment="1">
      <alignment horizontal="left" vertical="center"/>
    </xf>
    <xf numFmtId="0" fontId="14" fillId="0" borderId="7" xfId="1" applyFont="1" applyBorder="1" applyAlignment="1">
      <alignment horizontal="left" vertical="center"/>
    </xf>
    <xf numFmtId="0" fontId="14" fillId="0" borderId="38" xfId="1" applyFont="1" applyBorder="1" applyAlignment="1">
      <alignment horizontal="left" vertical="center"/>
    </xf>
    <xf numFmtId="0" fontId="14" fillId="0" borderId="10" xfId="1" applyFont="1" applyBorder="1" applyAlignment="1">
      <alignment horizontal="left" vertical="center"/>
    </xf>
    <xf numFmtId="0" fontId="14" fillId="0" borderId="39" xfId="1" applyFont="1" applyBorder="1" applyAlignment="1">
      <alignment horizontal="left" vertical="center"/>
    </xf>
    <xf numFmtId="0" fontId="4" fillId="0" borderId="12" xfId="0" quotePrefix="1" applyFont="1" applyBorder="1" applyAlignment="1">
      <alignment horizontal="center" vertical="center" wrapText="1"/>
    </xf>
    <xf numFmtId="0" fontId="4" fillId="0" borderId="22" xfId="0" quotePrefix="1" applyFont="1" applyBorder="1" applyAlignment="1">
      <alignment horizontal="center" vertical="center" wrapText="1"/>
    </xf>
    <xf numFmtId="0" fontId="4" fillId="0" borderId="21" xfId="0" quotePrefix="1" applyFont="1" applyBorder="1" applyAlignment="1">
      <alignment horizontal="center" vertical="center" wrapText="1"/>
    </xf>
    <xf numFmtId="0" fontId="10" fillId="0" borderId="12" xfId="0" applyFont="1" applyBorder="1" applyAlignment="1">
      <alignment horizontal="left"/>
    </xf>
    <xf numFmtId="0" fontId="10" fillId="0" borderId="22" xfId="0" applyFont="1" applyBorder="1" applyAlignment="1">
      <alignment horizontal="left"/>
    </xf>
    <xf numFmtId="0" fontId="10" fillId="0" borderId="13" xfId="0" applyFont="1" applyBorder="1" applyAlignment="1">
      <alignment horizontal="left"/>
    </xf>
    <xf numFmtId="0" fontId="10" fillId="0" borderId="15" xfId="0" applyFont="1" applyBorder="1" applyAlignment="1">
      <alignment horizontal="left" vertical="center" wrapText="1"/>
    </xf>
    <xf numFmtId="0" fontId="12" fillId="0" borderId="31" xfId="0" applyFont="1" applyBorder="1" applyAlignment="1">
      <alignment horizontal="center" wrapText="1"/>
    </xf>
    <xf numFmtId="0" fontId="12" fillId="0" borderId="0" xfId="0" applyFont="1" applyAlignment="1">
      <alignment horizontal="center" wrapText="1"/>
    </xf>
    <xf numFmtId="0" fontId="7" fillId="0" borderId="1" xfId="0" applyFont="1" applyBorder="1" applyAlignment="1">
      <alignment horizontal="left"/>
    </xf>
    <xf numFmtId="0" fontId="7" fillId="0" borderId="3" xfId="0" applyFont="1" applyBorder="1" applyAlignment="1">
      <alignment horizontal="left"/>
    </xf>
    <xf numFmtId="0" fontId="7" fillId="0" borderId="2" xfId="0" applyFont="1" applyBorder="1" applyAlignment="1">
      <alignment horizontal="left"/>
    </xf>
    <xf numFmtId="0" fontId="20" fillId="0" borderId="11" xfId="0" applyFont="1" applyBorder="1" applyAlignment="1">
      <alignment horizontal="center" vertical="center" wrapText="1"/>
    </xf>
    <xf numFmtId="0" fontId="8" fillId="0" borderId="12" xfId="0" quotePrefix="1" applyFont="1" applyBorder="1" applyAlignment="1">
      <alignment horizontal="left" vertical="center" wrapText="1"/>
    </xf>
    <xf numFmtId="0" fontId="8" fillId="0" borderId="22" xfId="0" quotePrefix="1" applyFont="1" applyBorder="1" applyAlignment="1">
      <alignment horizontal="left" vertical="center" wrapText="1"/>
    </xf>
    <xf numFmtId="0" fontId="8" fillId="0" borderId="21" xfId="0" quotePrefix="1" applyFont="1" applyBorder="1" applyAlignment="1">
      <alignment horizontal="left" vertical="center" wrapText="1"/>
    </xf>
    <xf numFmtId="0" fontId="29" fillId="0" borderId="12" xfId="0" applyFont="1" applyBorder="1" applyAlignment="1">
      <alignment horizontal="left" vertical="center" wrapText="1"/>
    </xf>
    <xf numFmtId="0" fontId="30" fillId="0" borderId="22" xfId="0" applyFont="1" applyBorder="1" applyAlignment="1">
      <alignment horizontal="left" vertical="center"/>
    </xf>
    <xf numFmtId="0" fontId="31" fillId="0" borderId="31" xfId="0" applyFont="1" applyBorder="1" applyAlignment="1">
      <alignment horizontal="left" vertical="center" wrapText="1"/>
    </xf>
    <xf numFmtId="0" fontId="31" fillId="0" borderId="0" xfId="0" applyFont="1" applyAlignment="1">
      <alignment horizontal="left" vertical="center" wrapText="1"/>
    </xf>
    <xf numFmtId="0" fontId="7" fillId="0" borderId="11" xfId="0" applyFont="1" applyBorder="1" applyAlignment="1">
      <alignment horizontal="center"/>
    </xf>
    <xf numFmtId="0" fontId="7" fillId="0" borderId="24" xfId="0" applyFont="1" applyBorder="1" applyAlignment="1">
      <alignment horizontal="center"/>
    </xf>
    <xf numFmtId="0" fontId="7" fillId="0" borderId="7" xfId="0" applyFont="1" applyBorder="1" applyAlignment="1">
      <alignment horizontal="center"/>
    </xf>
    <xf numFmtId="0" fontId="7" fillId="0" borderId="40" xfId="0" applyFont="1" applyBorder="1" applyAlignment="1">
      <alignment horizontal="center" vertical="center"/>
    </xf>
    <xf numFmtId="0" fontId="7" fillId="0" borderId="26" xfId="0" applyFont="1" applyBorder="1" applyAlignment="1">
      <alignment horizontal="center" vertical="center"/>
    </xf>
    <xf numFmtId="0" fontId="7" fillId="0" borderId="41" xfId="0" applyFont="1" applyBorder="1" applyAlignment="1">
      <alignment horizontal="center" vertical="center"/>
    </xf>
    <xf numFmtId="0" fontId="9" fillId="0" borderId="11"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7"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6" xfId="0" applyFont="1" applyBorder="1" applyAlignment="1">
      <alignment horizontal="center" vertical="center" wrapText="1"/>
    </xf>
    <xf numFmtId="0" fontId="16" fillId="0" borderId="12" xfId="0" applyFont="1" applyBorder="1" applyAlignment="1">
      <alignment horizontal="left" vertical="center" wrapText="1"/>
    </xf>
    <xf numFmtId="0" fontId="16" fillId="0" borderId="22" xfId="0" applyFont="1" applyBorder="1" applyAlignment="1">
      <alignment horizontal="left" vertical="center" wrapText="1"/>
    </xf>
    <xf numFmtId="0" fontId="19" fillId="0" borderId="12" xfId="0" applyFont="1" applyBorder="1" applyAlignment="1">
      <alignment horizontal="left" vertical="center"/>
    </xf>
    <xf numFmtId="0" fontId="19" fillId="0" borderId="22" xfId="0" applyFont="1" applyBorder="1" applyAlignment="1">
      <alignment horizontal="left" vertical="center"/>
    </xf>
    <xf numFmtId="0" fontId="19" fillId="0" borderId="13" xfId="0" applyFont="1" applyBorder="1" applyAlignment="1">
      <alignment horizontal="left" vertical="center"/>
    </xf>
    <xf numFmtId="0" fontId="16" fillId="0" borderId="12" xfId="0" applyFont="1" applyBorder="1" applyAlignment="1">
      <alignment horizontal="left" vertical="center"/>
    </xf>
    <xf numFmtId="0" fontId="16" fillId="0" borderId="22" xfId="0" applyFont="1" applyBorder="1" applyAlignment="1">
      <alignment horizontal="left" vertical="center"/>
    </xf>
    <xf numFmtId="0" fontId="11" fillId="0" borderId="31" xfId="0" applyFont="1" applyBorder="1" applyAlignment="1">
      <alignment horizontal="left" wrapText="1"/>
    </xf>
    <xf numFmtId="0" fontId="11" fillId="0" borderId="0" xfId="0" applyFont="1" applyAlignment="1">
      <alignment horizontal="left" wrapText="1"/>
    </xf>
    <xf numFmtId="0" fontId="10" fillId="0" borderId="15" xfId="0" applyFont="1" applyBorder="1" applyAlignment="1">
      <alignment horizontal="center"/>
    </xf>
    <xf numFmtId="0" fontId="11" fillId="0" borderId="20" xfId="0" applyFont="1" applyBorder="1" applyAlignment="1">
      <alignment horizontal="left"/>
    </xf>
    <xf numFmtId="0" fontId="11" fillId="0" borderId="22" xfId="0" applyFont="1" applyBorder="1" applyAlignment="1">
      <alignment horizontal="left"/>
    </xf>
    <xf numFmtId="0" fontId="11" fillId="0" borderId="19" xfId="0" applyFont="1" applyBorder="1" applyAlignment="1">
      <alignment horizontal="left"/>
    </xf>
    <xf numFmtId="0" fontId="11" fillId="0" borderId="21" xfId="0" applyFont="1" applyBorder="1" applyAlignment="1">
      <alignment horizontal="left"/>
    </xf>
    <xf numFmtId="0" fontId="31" fillId="0" borderId="31" xfId="0" applyFont="1" applyBorder="1" applyAlignment="1">
      <alignment horizontal="left" vertical="top" wrapText="1"/>
    </xf>
    <xf numFmtId="0" fontId="31" fillId="0" borderId="0" xfId="0" applyFont="1" applyAlignment="1">
      <alignment horizontal="left" vertical="top" wrapText="1"/>
    </xf>
    <xf numFmtId="0" fontId="12" fillId="0" borderId="31" xfId="0" applyFont="1" applyBorder="1" applyAlignment="1">
      <alignment horizontal="left" wrapText="1"/>
    </xf>
    <xf numFmtId="0" fontId="12" fillId="0" borderId="0" xfId="0" applyFont="1" applyAlignment="1">
      <alignment horizontal="left" wrapText="1"/>
    </xf>
    <xf numFmtId="0" fontId="15" fillId="0" borderId="12" xfId="0" applyFont="1" applyBorder="1" applyAlignment="1">
      <alignment horizontal="left" vertical="center" wrapText="1"/>
    </xf>
    <xf numFmtId="0" fontId="17" fillId="0" borderId="11" xfId="0" quotePrefix="1" applyFont="1" applyBorder="1" applyAlignment="1">
      <alignment horizontal="center" vertical="center" wrapText="1"/>
    </xf>
    <xf numFmtId="0" fontId="17" fillId="0" borderId="24" xfId="0" applyFont="1" applyBorder="1" applyAlignment="1">
      <alignment horizontal="center" vertical="center" wrapText="1"/>
    </xf>
    <xf numFmtId="0" fontId="28" fillId="0" borderId="15" xfId="0" applyFont="1" applyBorder="1" applyAlignment="1">
      <alignment horizontal="center" vertical="center"/>
    </xf>
    <xf numFmtId="0" fontId="28" fillId="0" borderId="12" xfId="0" applyFont="1" applyBorder="1" applyAlignment="1">
      <alignment horizontal="center" vertical="center"/>
    </xf>
    <xf numFmtId="0" fontId="10" fillId="0" borderId="12" xfId="0" quotePrefix="1" applyFont="1" applyBorder="1" applyAlignment="1">
      <alignment horizontal="center" vertical="center" wrapText="1"/>
    </xf>
    <xf numFmtId="0" fontId="10" fillId="0" borderId="22" xfId="0" quotePrefix="1" applyFont="1" applyBorder="1" applyAlignment="1">
      <alignment horizontal="center" vertical="center" wrapText="1"/>
    </xf>
    <xf numFmtId="0" fontId="10" fillId="0" borderId="21" xfId="0" quotePrefix="1" applyFont="1" applyBorder="1" applyAlignment="1">
      <alignment horizontal="center" vertical="center" wrapText="1"/>
    </xf>
    <xf numFmtId="0" fontId="10" fillId="0" borderId="12" xfId="0" applyFont="1" applyBorder="1" applyAlignment="1">
      <alignment horizontal="center" vertical="center"/>
    </xf>
    <xf numFmtId="0" fontId="10" fillId="0" borderId="22" xfId="0" applyFont="1" applyBorder="1" applyAlignment="1">
      <alignment horizontal="center" vertical="center"/>
    </xf>
    <xf numFmtId="0" fontId="10" fillId="0" borderId="21" xfId="0" applyFont="1" applyBorder="1" applyAlignment="1">
      <alignment horizontal="center" vertical="center"/>
    </xf>
    <xf numFmtId="0" fontId="10" fillId="0" borderId="19" xfId="0" applyFont="1" applyBorder="1" applyAlignment="1">
      <alignment horizontal="center"/>
    </xf>
    <xf numFmtId="0" fontId="10" fillId="0" borderId="6" xfId="0" applyFont="1" applyBorder="1" applyAlignment="1">
      <alignment horizontal="center"/>
    </xf>
    <xf numFmtId="0" fontId="17" fillId="0" borderId="11" xfId="0" quotePrefix="1" applyFont="1" applyBorder="1" applyAlignment="1">
      <alignment horizontal="left" vertical="center" wrapText="1"/>
    </xf>
    <xf numFmtId="0" fontId="17" fillId="0" borderId="24" xfId="0" applyFont="1" applyBorder="1" applyAlignment="1">
      <alignment horizontal="left" vertical="center" wrapText="1"/>
    </xf>
    <xf numFmtId="0" fontId="34" fillId="0" borderId="0" xfId="0" applyFont="1" applyAlignment="1">
      <alignment horizontal="center"/>
    </xf>
    <xf numFmtId="0" fontId="34" fillId="0" borderId="30" xfId="0" applyFont="1" applyBorder="1" applyAlignment="1">
      <alignment horizontal="center"/>
    </xf>
    <xf numFmtId="0" fontId="33" fillId="0" borderId="15" xfId="0" applyFont="1" applyBorder="1" applyAlignment="1">
      <alignment horizontal="left" vertical="center" wrapText="1"/>
    </xf>
    <xf numFmtId="0" fontId="35" fillId="0" borderId="11" xfId="1" quotePrefix="1" applyFont="1" applyBorder="1" applyAlignment="1">
      <alignment horizontal="left" vertical="center"/>
    </xf>
    <xf numFmtId="0" fontId="35" fillId="0" borderId="24" xfId="1" applyFont="1" applyBorder="1" applyAlignment="1">
      <alignment horizontal="left" vertical="center"/>
    </xf>
    <xf numFmtId="0" fontId="35" fillId="0" borderId="7" xfId="1" applyFont="1" applyBorder="1" applyAlignment="1">
      <alignment horizontal="left" vertical="center"/>
    </xf>
    <xf numFmtId="0" fontId="35" fillId="0" borderId="38" xfId="1" applyFont="1" applyBorder="1" applyAlignment="1">
      <alignment horizontal="left" vertical="center"/>
    </xf>
    <xf numFmtId="0" fontId="35" fillId="0" borderId="10" xfId="1" applyFont="1" applyBorder="1" applyAlignment="1">
      <alignment horizontal="left" vertical="center"/>
    </xf>
    <xf numFmtId="0" fontId="35" fillId="0" borderId="39" xfId="1" applyFont="1" applyBorder="1" applyAlignment="1">
      <alignment horizontal="left" vertical="center"/>
    </xf>
    <xf numFmtId="0" fontId="19" fillId="0" borderId="11" xfId="0" quotePrefix="1" applyFont="1" applyBorder="1" applyAlignment="1">
      <alignment horizontal="left" vertical="center" wrapText="1"/>
    </xf>
    <xf numFmtId="0" fontId="19" fillId="0" borderId="31" xfId="0" quotePrefix="1" applyFont="1" applyBorder="1" applyAlignment="1">
      <alignment horizontal="left" vertical="center" wrapText="1"/>
    </xf>
    <xf numFmtId="0" fontId="16" fillId="0" borderId="11"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7" xfId="0" applyFont="1" applyBorder="1" applyAlignment="1">
      <alignment horizontal="center" vertical="center" wrapText="1"/>
    </xf>
    <xf numFmtId="0" fontId="17" fillId="0" borderId="7" xfId="0" applyFont="1" applyBorder="1" applyAlignment="1">
      <alignment horizontal="center" vertical="center" wrapText="1"/>
    </xf>
    <xf numFmtId="0" fontId="16" fillId="0" borderId="15" xfId="0" applyFont="1" applyBorder="1" applyAlignment="1">
      <alignment horizontal="center" vertical="center" wrapText="1"/>
    </xf>
    <xf numFmtId="0" fontId="15" fillId="0" borderId="15" xfId="0" applyFont="1" applyBorder="1" applyAlignment="1">
      <alignment horizontal="center" vertical="center" wrapText="1"/>
    </xf>
    <xf numFmtId="0" fontId="27" fillId="0" borderId="31" xfId="0" applyFont="1" applyBorder="1" applyAlignment="1">
      <alignment horizontal="center" vertical="center" wrapText="1"/>
    </xf>
    <xf numFmtId="0" fontId="27" fillId="0" borderId="0" xfId="0" applyFont="1" applyAlignment="1">
      <alignment horizontal="center" vertical="center" wrapText="1"/>
    </xf>
    <xf numFmtId="0" fontId="27" fillId="0" borderId="30" xfId="0" applyFont="1" applyBorder="1" applyAlignment="1">
      <alignment horizontal="center" vertical="center" wrapText="1"/>
    </xf>
    <xf numFmtId="0" fontId="33" fillId="0" borderId="12" xfId="0" applyFont="1" applyBorder="1" applyAlignment="1">
      <alignment horizontal="left"/>
    </xf>
    <xf numFmtId="0" fontId="33" fillId="0" borderId="22" xfId="0" applyFont="1" applyBorder="1" applyAlignment="1">
      <alignment horizontal="left"/>
    </xf>
    <xf numFmtId="0" fontId="33" fillId="0" borderId="13" xfId="0" applyFont="1" applyBorder="1" applyAlignment="1">
      <alignment horizontal="left"/>
    </xf>
    <xf numFmtId="0" fontId="8" fillId="0" borderId="22" xfId="0" applyFont="1" applyBorder="1" applyAlignment="1">
      <alignment horizontal="center"/>
    </xf>
    <xf numFmtId="0" fontId="35" fillId="0" borderId="11" xfId="1" applyFont="1" applyBorder="1" applyAlignment="1">
      <alignment horizontal="left" vertical="center"/>
    </xf>
    <xf numFmtId="0" fontId="31" fillId="0" borderId="31" xfId="0" applyFont="1" applyBorder="1" applyAlignment="1">
      <alignment horizontal="left" vertical="center"/>
    </xf>
    <xf numFmtId="0" fontId="31" fillId="0" borderId="0" xfId="0" applyFont="1" applyAlignment="1">
      <alignment horizontal="left" vertical="center"/>
    </xf>
    <xf numFmtId="0" fontId="31" fillId="0" borderId="30" xfId="0" applyFont="1" applyBorder="1" applyAlignment="1">
      <alignment horizontal="left" vertical="center"/>
    </xf>
    <xf numFmtId="0" fontId="41" fillId="0" borderId="11" xfId="1" applyFont="1" applyBorder="1" applyAlignment="1">
      <alignment horizontal="left" vertical="center"/>
    </xf>
    <xf numFmtId="0" fontId="41" fillId="0" borderId="24" xfId="1" applyFont="1" applyBorder="1" applyAlignment="1">
      <alignment horizontal="left" vertical="center"/>
    </xf>
    <xf numFmtId="0" fontId="41" fillId="0" borderId="7" xfId="1" applyFont="1" applyBorder="1" applyAlignment="1">
      <alignment horizontal="left" vertical="center"/>
    </xf>
    <xf numFmtId="0" fontId="41" fillId="0" borderId="38" xfId="1" applyFont="1" applyBorder="1" applyAlignment="1">
      <alignment horizontal="left" vertical="center"/>
    </xf>
    <xf numFmtId="0" fontId="41" fillId="0" borderId="10" xfId="1" applyFont="1" applyBorder="1" applyAlignment="1">
      <alignment horizontal="left" vertical="center"/>
    </xf>
    <xf numFmtId="0" fontId="41" fillId="0" borderId="39" xfId="1" applyFont="1" applyBorder="1" applyAlignment="1">
      <alignment horizontal="left" vertical="center"/>
    </xf>
    <xf numFmtId="0" fontId="17" fillId="0" borderId="7" xfId="0" applyFont="1" applyBorder="1" applyAlignment="1">
      <alignment horizontal="left" vertical="center" wrapText="1"/>
    </xf>
    <xf numFmtId="0" fontId="31" fillId="0" borderId="30" xfId="0" applyFont="1" applyBorder="1" applyAlignment="1">
      <alignment horizontal="left" vertical="center" wrapText="1"/>
    </xf>
    <xf numFmtId="0" fontId="31" fillId="0" borderId="31" xfId="0" applyFont="1" applyBorder="1" applyAlignment="1">
      <alignment horizontal="center" vertical="center"/>
    </xf>
    <xf numFmtId="0" fontId="31" fillId="0" borderId="0" xfId="0" applyFont="1" applyAlignment="1">
      <alignment horizontal="center" vertical="center"/>
    </xf>
    <xf numFmtId="0" fontId="31" fillId="0" borderId="30" xfId="0" applyFont="1" applyBorder="1" applyAlignment="1">
      <alignment horizontal="center" vertical="center"/>
    </xf>
    <xf numFmtId="0" fontId="43" fillId="0" borderId="31" xfId="0" applyFont="1" applyBorder="1" applyAlignment="1">
      <alignment horizontal="left" vertical="center" wrapText="1"/>
    </xf>
    <xf numFmtId="0" fontId="43" fillId="0" borderId="0" xfId="0" applyFont="1" applyAlignment="1">
      <alignment horizontal="left" vertical="center" wrapText="1"/>
    </xf>
    <xf numFmtId="0" fontId="43" fillId="0" borderId="30" xfId="0" applyFont="1" applyBorder="1" applyAlignment="1">
      <alignment horizontal="left" vertical="center" wrapText="1"/>
    </xf>
    <xf numFmtId="0" fontId="11" fillId="0" borderId="31" xfId="0" applyFont="1" applyBorder="1" applyAlignment="1">
      <alignment horizontal="left"/>
    </xf>
    <xf numFmtId="0" fontId="11" fillId="0" borderId="0" xfId="0" applyFont="1" applyAlignment="1">
      <alignment horizontal="left"/>
    </xf>
    <xf numFmtId="0" fontId="11" fillId="0" borderId="30" xfId="0" applyFont="1" applyBorder="1" applyAlignment="1">
      <alignment horizontal="left"/>
    </xf>
  </cellXfs>
  <cellStyles count="6">
    <cellStyle name="Comma" xfId="2" builtinId="3"/>
    <cellStyle name="Comma 2" xfId="4" xr:uid="{00000000-0005-0000-0000-000001000000}"/>
    <cellStyle name="Comma 2 2" xfId="5" xr:uid="{00000000-0005-0000-0000-000002000000}"/>
    <cellStyle name="Comma 3" xfId="3" xr:uid="{00000000-0005-0000-0000-000003000000}"/>
    <cellStyle name="Hyperlink" xfId="1" builtinId="8"/>
    <cellStyle name="Normal" xfId="0" builtinId="0"/>
  </cellStyles>
  <dxfs count="0"/>
  <tableStyles count="0" defaultTableStyle="TableStyleMedium2" defaultPivotStyle="PivotStyleLight16"/>
  <colors>
    <mruColors>
      <color rgb="FF0099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79547</xdr:colOff>
      <xdr:row>1</xdr:row>
      <xdr:rowOff>154491</xdr:rowOff>
    </xdr:from>
    <xdr:to>
      <xdr:col>1</xdr:col>
      <xdr:colOff>1005501</xdr:colOff>
      <xdr:row>4</xdr:row>
      <xdr:rowOff>262283</xdr:rowOff>
    </xdr:to>
    <xdr:pic>
      <xdr:nvPicPr>
        <xdr:cNvPr id="2" name="Picture 1">
          <a:extLst>
            <a:ext uri="{FF2B5EF4-FFF2-40B4-BE49-F238E27FC236}">
              <a16:creationId xmlns:a16="http://schemas.microsoft.com/office/drawing/2014/main" id="{91001F14-4240-42D7-8632-959C300E2A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8247" y="344991"/>
          <a:ext cx="925954" cy="92694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79547</xdr:colOff>
      <xdr:row>1</xdr:row>
      <xdr:rowOff>154491</xdr:rowOff>
    </xdr:from>
    <xdr:to>
      <xdr:col>1</xdr:col>
      <xdr:colOff>1005501</xdr:colOff>
      <xdr:row>4</xdr:row>
      <xdr:rowOff>262283</xdr:rowOff>
    </xdr:to>
    <xdr:pic>
      <xdr:nvPicPr>
        <xdr:cNvPr id="2" name="Picture 1">
          <a:extLst>
            <a:ext uri="{FF2B5EF4-FFF2-40B4-BE49-F238E27FC236}">
              <a16:creationId xmlns:a16="http://schemas.microsoft.com/office/drawing/2014/main" id="{AF46CA45-83A0-4889-9009-523A6F1A63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8247" y="344991"/>
          <a:ext cx="925954" cy="92694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239890</xdr:colOff>
      <xdr:row>1</xdr:row>
      <xdr:rowOff>48840</xdr:rowOff>
    </xdr:from>
    <xdr:to>
      <xdr:col>1</xdr:col>
      <xdr:colOff>1123731</xdr:colOff>
      <xdr:row>4</xdr:row>
      <xdr:rowOff>277154</xdr:rowOff>
    </xdr:to>
    <xdr:pic>
      <xdr:nvPicPr>
        <xdr:cNvPr id="2" name="Picture 1">
          <a:extLst>
            <a:ext uri="{FF2B5EF4-FFF2-40B4-BE49-F238E27FC236}">
              <a16:creationId xmlns:a16="http://schemas.microsoft.com/office/drawing/2014/main" id="{FD41F584-C0E7-44DA-B279-006A74D497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5659" y="244225"/>
          <a:ext cx="883841" cy="899948"/>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93351</xdr:colOff>
      <xdr:row>1</xdr:row>
      <xdr:rowOff>109898</xdr:rowOff>
    </xdr:from>
    <xdr:to>
      <xdr:col>1</xdr:col>
      <xdr:colOff>977192</xdr:colOff>
      <xdr:row>4</xdr:row>
      <xdr:rowOff>338212</xdr:rowOff>
    </xdr:to>
    <xdr:pic>
      <xdr:nvPicPr>
        <xdr:cNvPr id="2" name="Picture 1">
          <a:extLst>
            <a:ext uri="{FF2B5EF4-FFF2-40B4-BE49-F238E27FC236}">
              <a16:creationId xmlns:a16="http://schemas.microsoft.com/office/drawing/2014/main" id="{F85342B2-31C4-4E10-9286-F732BD70D0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2051" y="309923"/>
          <a:ext cx="883841" cy="895064"/>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79547</xdr:colOff>
      <xdr:row>1</xdr:row>
      <xdr:rowOff>154491</xdr:rowOff>
    </xdr:from>
    <xdr:to>
      <xdr:col>1</xdr:col>
      <xdr:colOff>1005501</xdr:colOff>
      <xdr:row>4</xdr:row>
      <xdr:rowOff>262283</xdr:rowOff>
    </xdr:to>
    <xdr:pic>
      <xdr:nvPicPr>
        <xdr:cNvPr id="2" name="Picture 1">
          <a:extLst>
            <a:ext uri="{FF2B5EF4-FFF2-40B4-BE49-F238E27FC236}">
              <a16:creationId xmlns:a16="http://schemas.microsoft.com/office/drawing/2014/main" id="{AB41D283-C6C4-4AAF-AA7A-93CA413227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8247" y="344991"/>
          <a:ext cx="925954" cy="926942"/>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93351</xdr:colOff>
      <xdr:row>2</xdr:row>
      <xdr:rowOff>73269</xdr:rowOff>
    </xdr:from>
    <xdr:to>
      <xdr:col>1</xdr:col>
      <xdr:colOff>977192</xdr:colOff>
      <xdr:row>4</xdr:row>
      <xdr:rowOff>484756</xdr:rowOff>
    </xdr:to>
    <xdr:pic>
      <xdr:nvPicPr>
        <xdr:cNvPr id="2" name="Picture 1">
          <a:extLst>
            <a:ext uri="{FF2B5EF4-FFF2-40B4-BE49-F238E27FC236}">
              <a16:creationId xmlns:a16="http://schemas.microsoft.com/office/drawing/2014/main" id="{ED7AC16D-A9CF-47BA-80F9-BE8A95AC34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2051" y="454269"/>
          <a:ext cx="883841" cy="897262"/>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93351</xdr:colOff>
      <xdr:row>2</xdr:row>
      <xdr:rowOff>73269</xdr:rowOff>
    </xdr:from>
    <xdr:to>
      <xdr:col>1</xdr:col>
      <xdr:colOff>977192</xdr:colOff>
      <xdr:row>4</xdr:row>
      <xdr:rowOff>484756</xdr:rowOff>
    </xdr:to>
    <xdr:pic>
      <xdr:nvPicPr>
        <xdr:cNvPr id="2" name="Picture 1">
          <a:extLst>
            <a:ext uri="{FF2B5EF4-FFF2-40B4-BE49-F238E27FC236}">
              <a16:creationId xmlns:a16="http://schemas.microsoft.com/office/drawing/2014/main" id="{EE429C2B-7F8F-4BBE-8445-E7B2766175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2051" y="454269"/>
          <a:ext cx="883841" cy="897262"/>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79547</xdr:colOff>
      <xdr:row>1</xdr:row>
      <xdr:rowOff>154491</xdr:rowOff>
    </xdr:from>
    <xdr:to>
      <xdr:col>1</xdr:col>
      <xdr:colOff>1005501</xdr:colOff>
      <xdr:row>4</xdr:row>
      <xdr:rowOff>262283</xdr:rowOff>
    </xdr:to>
    <xdr:pic>
      <xdr:nvPicPr>
        <xdr:cNvPr id="2" name="Picture 1">
          <a:extLst>
            <a:ext uri="{FF2B5EF4-FFF2-40B4-BE49-F238E27FC236}">
              <a16:creationId xmlns:a16="http://schemas.microsoft.com/office/drawing/2014/main" id="{9E5FA902-40F4-496C-B268-35E8146DD4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8247" y="344991"/>
          <a:ext cx="925954" cy="926942"/>
        </a:xfrm>
        <a:prstGeom prst="rect">
          <a:avLst/>
        </a:prstGeom>
        <a:noFill/>
        <a:ln>
          <a:noFill/>
        </a:ln>
      </xdr:spPr>
    </xdr:pic>
    <xdr:clientData/>
  </xdr:twoCellAnchor>
  <xdr:twoCellAnchor>
    <xdr:from>
      <xdr:col>3</xdr:col>
      <xdr:colOff>262283</xdr:colOff>
      <xdr:row>48</xdr:row>
      <xdr:rowOff>0</xdr:rowOff>
    </xdr:from>
    <xdr:to>
      <xdr:col>5</xdr:col>
      <xdr:colOff>1118152</xdr:colOff>
      <xdr:row>48</xdr:row>
      <xdr:rowOff>0</xdr:rowOff>
    </xdr:to>
    <xdr:cxnSp macro="">
      <xdr:nvCxnSpPr>
        <xdr:cNvPr id="3" name="Straight Connector 2">
          <a:extLst>
            <a:ext uri="{FF2B5EF4-FFF2-40B4-BE49-F238E27FC236}">
              <a16:creationId xmlns:a16="http://schemas.microsoft.com/office/drawing/2014/main" id="{62D28DD1-14F4-4C68-B248-63F0AEC7A01D}"/>
            </a:ext>
          </a:extLst>
        </xdr:cNvPr>
        <xdr:cNvCxnSpPr/>
      </xdr:nvCxnSpPr>
      <xdr:spPr>
        <a:xfrm>
          <a:off x="3005483" y="47367825"/>
          <a:ext cx="3246644" cy="0"/>
        </a:xfrm>
        <a:prstGeom prst="line">
          <a:avLst/>
        </a:prstGeom>
        <a:ln w="19050">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289892</xdr:colOff>
      <xdr:row>51</xdr:row>
      <xdr:rowOff>0</xdr:rowOff>
    </xdr:from>
    <xdr:to>
      <xdr:col>5</xdr:col>
      <xdr:colOff>1145761</xdr:colOff>
      <xdr:row>51</xdr:row>
      <xdr:rowOff>0</xdr:rowOff>
    </xdr:to>
    <xdr:cxnSp macro="">
      <xdr:nvCxnSpPr>
        <xdr:cNvPr id="4" name="Straight Connector 3">
          <a:extLst>
            <a:ext uri="{FF2B5EF4-FFF2-40B4-BE49-F238E27FC236}">
              <a16:creationId xmlns:a16="http://schemas.microsoft.com/office/drawing/2014/main" id="{5567A0C4-6A52-49C5-B182-A1C53CF5A7F7}"/>
            </a:ext>
          </a:extLst>
        </xdr:cNvPr>
        <xdr:cNvCxnSpPr/>
      </xdr:nvCxnSpPr>
      <xdr:spPr>
        <a:xfrm>
          <a:off x="3033092" y="48253650"/>
          <a:ext cx="3246644" cy="0"/>
        </a:xfrm>
        <a:prstGeom prst="line">
          <a:avLst/>
        </a:prstGeom>
        <a:ln w="19050">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dadatransportservice@yahoo.com/09465838841"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leverage_2006@yahoo.com.ph"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sheenmea.abrea@almont.com.ph%20/%2009194856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0086A-572C-4F81-AF1E-B45CF7681ADC}">
  <sheetPr codeName="Sheet1">
    <tabColor rgb="FFC00000"/>
    <pageSetUpPr fitToPage="1"/>
  </sheetPr>
  <dimension ref="A1:M118"/>
  <sheetViews>
    <sheetView view="pageBreakPreview" topLeftCell="A32" zoomScale="69" zoomScaleNormal="100" zoomScaleSheetLayoutView="69" workbookViewId="0">
      <selection activeCell="E41" sqref="E41"/>
    </sheetView>
  </sheetViews>
  <sheetFormatPr defaultColWidth="9.140625" defaultRowHeight="14.25"/>
  <cols>
    <col min="1" max="1" width="15.42578125" style="1" customWidth="1"/>
    <col min="2" max="2" width="16.140625" style="2" customWidth="1"/>
    <col min="3" max="3" width="9.5703125" style="1" customWidth="1"/>
    <col min="4" max="4" width="13.5703125" style="1" customWidth="1"/>
    <col min="5" max="5" width="21.140625" style="1" customWidth="1"/>
    <col min="6" max="6" width="24.7109375" style="1" customWidth="1"/>
    <col min="7" max="7" width="12.28515625" style="1" customWidth="1"/>
    <col min="8" max="8" width="16.7109375" style="1" customWidth="1"/>
    <col min="9" max="9" width="17" style="1" customWidth="1"/>
    <col min="10" max="10" width="27.85546875" style="1" customWidth="1"/>
    <col min="11" max="11" width="11.7109375" style="1" customWidth="1"/>
    <col min="12" max="12" width="14.140625" style="1" customWidth="1"/>
    <col min="13" max="13" width="20.5703125" style="1" customWidth="1"/>
    <col min="14" max="16384" width="9.140625" style="1"/>
  </cols>
  <sheetData>
    <row r="1" spans="2:13" ht="15" thickBot="1">
      <c r="B1" s="1"/>
    </row>
    <row r="2" spans="2:13" ht="25.5" customHeight="1">
      <c r="B2" s="307"/>
      <c r="C2" s="412" t="s">
        <v>0</v>
      </c>
      <c r="D2" s="413"/>
      <c r="E2" s="413"/>
      <c r="F2" s="413"/>
      <c r="G2" s="413"/>
      <c r="H2" s="413"/>
      <c r="I2" s="414"/>
      <c r="J2" s="316" t="s">
        <v>181</v>
      </c>
      <c r="K2" s="317"/>
      <c r="L2" s="322" t="s">
        <v>125</v>
      </c>
      <c r="M2" s="323"/>
    </row>
    <row r="3" spans="2:13" ht="14.25" customHeight="1">
      <c r="B3" s="308"/>
      <c r="C3" s="415"/>
      <c r="D3" s="416"/>
      <c r="E3" s="416"/>
      <c r="F3" s="416"/>
      <c r="G3" s="416"/>
      <c r="H3" s="416"/>
      <c r="I3" s="417"/>
      <c r="J3" s="318"/>
      <c r="K3" s="319"/>
      <c r="L3" s="324"/>
      <c r="M3" s="325"/>
    </row>
    <row r="4" spans="2:13" ht="24.75" customHeight="1">
      <c r="B4" s="308"/>
      <c r="C4" s="328" t="s">
        <v>27</v>
      </c>
      <c r="D4" s="329"/>
      <c r="E4" s="329"/>
      <c r="F4" s="329"/>
      <c r="G4" s="329"/>
      <c r="H4" s="329"/>
      <c r="I4" s="330"/>
      <c r="J4" s="320"/>
      <c r="K4" s="321"/>
      <c r="L4" s="326"/>
      <c r="M4" s="327"/>
    </row>
    <row r="5" spans="2:13" ht="30" customHeight="1">
      <c r="B5" s="309"/>
      <c r="C5" s="331"/>
      <c r="D5" s="332"/>
      <c r="E5" s="332"/>
      <c r="F5" s="332"/>
      <c r="G5" s="332"/>
      <c r="H5" s="332"/>
      <c r="I5" s="333"/>
      <c r="J5" s="334" t="s">
        <v>1</v>
      </c>
      <c r="K5" s="335"/>
      <c r="L5" s="336" t="s">
        <v>182</v>
      </c>
      <c r="M5" s="337"/>
    </row>
    <row r="6" spans="2:13" ht="27.75" customHeight="1">
      <c r="B6" s="144" t="s">
        <v>3</v>
      </c>
      <c r="C6" s="273" t="s">
        <v>179</v>
      </c>
      <c r="D6" s="274"/>
      <c r="E6" s="274"/>
      <c r="F6" s="274"/>
      <c r="G6" s="274"/>
      <c r="H6" s="274"/>
      <c r="I6" s="275"/>
      <c r="J6" s="276" t="s">
        <v>4</v>
      </c>
      <c r="K6" s="277"/>
      <c r="L6" s="280" t="s">
        <v>43</v>
      </c>
      <c r="M6" s="281"/>
    </row>
    <row r="7" spans="2:13" ht="18" customHeight="1">
      <c r="B7" s="411" t="s">
        <v>2</v>
      </c>
      <c r="C7" s="286" t="s">
        <v>180</v>
      </c>
      <c r="D7" s="286"/>
      <c r="E7" s="286"/>
      <c r="F7" s="286"/>
      <c r="G7" s="286"/>
      <c r="H7" s="286"/>
      <c r="I7" s="286"/>
      <c r="J7" s="278"/>
      <c r="K7" s="279"/>
      <c r="L7" s="282"/>
      <c r="M7" s="283"/>
    </row>
    <row r="8" spans="2:13" ht="15" customHeight="1">
      <c r="B8" s="411"/>
      <c r="C8" s="286"/>
      <c r="D8" s="286"/>
      <c r="E8" s="286"/>
      <c r="F8" s="286"/>
      <c r="G8" s="286"/>
      <c r="H8" s="286"/>
      <c r="I8" s="286"/>
      <c r="J8" s="276" t="s">
        <v>5</v>
      </c>
      <c r="K8" s="277"/>
      <c r="L8" s="291" t="s">
        <v>92</v>
      </c>
      <c r="M8" s="292"/>
    </row>
    <row r="9" spans="2:13" ht="21.75" customHeight="1">
      <c r="B9" s="297" t="s">
        <v>80</v>
      </c>
      <c r="C9" s="418">
        <v>9489145455</v>
      </c>
      <c r="D9" s="419"/>
      <c r="E9" s="419"/>
      <c r="F9" s="419"/>
      <c r="G9" s="419"/>
      <c r="H9" s="419"/>
      <c r="I9" s="420"/>
      <c r="J9" s="287"/>
      <c r="K9" s="288"/>
      <c r="L9" s="293"/>
      <c r="M9" s="294"/>
    </row>
    <row r="10" spans="2:13" ht="49.5" customHeight="1" thickBot="1">
      <c r="B10" s="298"/>
      <c r="C10" s="421"/>
      <c r="D10" s="422"/>
      <c r="E10" s="422"/>
      <c r="F10" s="422"/>
      <c r="G10" s="422"/>
      <c r="H10" s="422"/>
      <c r="I10" s="423"/>
      <c r="J10" s="289"/>
      <c r="K10" s="290"/>
      <c r="L10" s="295"/>
      <c r="M10" s="296"/>
    </row>
    <row r="11" spans="2:13" ht="3" customHeight="1" thickBot="1">
      <c r="B11" s="4"/>
      <c r="C11" s="5"/>
      <c r="D11" s="5"/>
      <c r="E11" s="5"/>
      <c r="F11" s="5"/>
      <c r="G11" s="5"/>
      <c r="H11" s="5"/>
      <c r="I11" s="5"/>
      <c r="J11" s="5"/>
      <c r="K11" s="5"/>
      <c r="L11" s="6"/>
      <c r="M11" s="7"/>
    </row>
    <row r="12" spans="2:13" ht="20.25" customHeight="1">
      <c r="B12" s="424" t="s">
        <v>7</v>
      </c>
      <c r="C12" s="425"/>
      <c r="D12" s="425"/>
      <c r="E12" s="425"/>
      <c r="F12" s="425"/>
      <c r="G12" s="425"/>
      <c r="H12" s="425"/>
      <c r="I12" s="425"/>
      <c r="J12" s="425"/>
      <c r="K12" s="425"/>
      <c r="L12" s="425"/>
      <c r="M12" s="426"/>
    </row>
    <row r="13" spans="2:13" ht="18">
      <c r="B13" s="427" t="s">
        <v>8</v>
      </c>
      <c r="C13" s="428"/>
      <c r="D13" s="428"/>
      <c r="E13" s="428"/>
      <c r="F13" s="428"/>
      <c r="G13" s="428"/>
      <c r="H13" s="428"/>
      <c r="I13" s="428"/>
      <c r="J13" s="428"/>
      <c r="K13" s="428"/>
      <c r="L13" s="428"/>
      <c r="M13" s="429"/>
    </row>
    <row r="14" spans="2:13" ht="54.75" customHeight="1">
      <c r="B14" s="430" t="s">
        <v>9</v>
      </c>
      <c r="C14" s="280" t="s">
        <v>71</v>
      </c>
      <c r="D14" s="346"/>
      <c r="E14" s="346"/>
      <c r="F14" s="346"/>
      <c r="G14" s="346"/>
      <c r="H14" s="347"/>
      <c r="I14" s="432" t="s">
        <v>10</v>
      </c>
      <c r="J14" s="433"/>
      <c r="K14" s="434" t="s">
        <v>111</v>
      </c>
      <c r="L14" s="435"/>
      <c r="M14" s="436"/>
    </row>
    <row r="15" spans="2:13" ht="39.75" customHeight="1">
      <c r="B15" s="431"/>
      <c r="C15" s="282"/>
      <c r="D15" s="348"/>
      <c r="E15" s="348"/>
      <c r="F15" s="348"/>
      <c r="G15" s="348"/>
      <c r="H15" s="349"/>
      <c r="I15" s="432" t="s">
        <v>11</v>
      </c>
      <c r="J15" s="433"/>
      <c r="K15" s="437" t="s">
        <v>112</v>
      </c>
      <c r="L15" s="438"/>
      <c r="M15" s="439"/>
    </row>
    <row r="16" spans="2:13">
      <c r="B16" s="69" t="s">
        <v>12</v>
      </c>
      <c r="C16" s="70" t="s">
        <v>13</v>
      </c>
      <c r="D16" s="440" t="s">
        <v>14</v>
      </c>
      <c r="E16" s="441"/>
      <c r="F16" s="441"/>
      <c r="G16" s="441"/>
      <c r="H16" s="441"/>
      <c r="I16" s="441"/>
      <c r="J16" s="442"/>
      <c r="K16" s="72" t="s">
        <v>15</v>
      </c>
      <c r="L16" s="71" t="s">
        <v>16</v>
      </c>
      <c r="M16" s="73" t="s">
        <v>17</v>
      </c>
    </row>
    <row r="17" spans="2:13" ht="14.25" customHeight="1">
      <c r="B17" s="18"/>
      <c r="C17" s="83"/>
      <c r="D17" s="443" t="s">
        <v>110</v>
      </c>
      <c r="E17" s="444"/>
      <c r="F17" s="444"/>
      <c r="G17" s="444"/>
      <c r="H17" s="444"/>
      <c r="I17" s="444"/>
      <c r="J17" s="445"/>
      <c r="K17" s="10"/>
      <c r="L17" s="9"/>
      <c r="M17" s="13"/>
    </row>
    <row r="18" spans="2:13" ht="47.25" customHeight="1">
      <c r="B18" s="12"/>
      <c r="C18" s="17"/>
      <c r="D18" s="446"/>
      <c r="E18" s="447"/>
      <c r="F18" s="447"/>
      <c r="G18" s="447"/>
      <c r="H18" s="447"/>
      <c r="I18" s="447"/>
      <c r="J18" s="447"/>
      <c r="K18" s="20"/>
      <c r="L18" s="93"/>
      <c r="M18" s="11"/>
    </row>
    <row r="19" spans="2:13" ht="18">
      <c r="B19" s="12"/>
      <c r="C19" s="17"/>
      <c r="D19" s="62"/>
      <c r="E19" s="84"/>
      <c r="F19" s="84"/>
      <c r="G19" s="84"/>
      <c r="H19" s="84"/>
      <c r="I19" s="84"/>
      <c r="J19" s="84"/>
      <c r="K19" s="20"/>
      <c r="L19" s="93"/>
      <c r="M19" s="11"/>
    </row>
    <row r="20" spans="2:13" ht="48" customHeight="1">
      <c r="B20" s="12"/>
      <c r="C20" s="17"/>
      <c r="D20" s="454" t="s">
        <v>113</v>
      </c>
      <c r="E20" s="455"/>
      <c r="F20" s="455"/>
      <c r="G20" s="455"/>
      <c r="H20" s="455"/>
      <c r="I20" s="455"/>
      <c r="J20" s="456"/>
      <c r="K20" s="19"/>
      <c r="L20" s="16"/>
      <c r="M20" s="11"/>
    </row>
    <row r="21" spans="2:13" ht="20.25">
      <c r="B21" s="12"/>
      <c r="C21" s="17"/>
      <c r="D21" s="86"/>
      <c r="E21" s="74"/>
      <c r="F21" s="74"/>
      <c r="G21" s="74"/>
      <c r="H21" s="74"/>
      <c r="I21" s="74"/>
      <c r="J21" s="74"/>
      <c r="K21" s="19"/>
      <c r="L21" s="16"/>
      <c r="M21" s="11"/>
    </row>
    <row r="22" spans="2:13" ht="34.5" customHeight="1">
      <c r="B22" s="12"/>
      <c r="C22" s="17"/>
      <c r="D22" s="457" t="s">
        <v>114</v>
      </c>
      <c r="E22" s="458"/>
      <c r="F22" s="458"/>
      <c r="G22" s="458"/>
      <c r="H22" s="458"/>
      <c r="I22" s="458"/>
      <c r="J22" s="459"/>
      <c r="K22" s="19"/>
      <c r="L22" s="16"/>
      <c r="M22" s="163">
        <f>SUM(M25:M27)</f>
        <v>21115</v>
      </c>
    </row>
    <row r="23" spans="2:13" ht="21">
      <c r="B23" s="12"/>
      <c r="C23" s="14"/>
      <c r="D23" s="88" t="s">
        <v>37</v>
      </c>
      <c r="E23" s="89"/>
      <c r="F23" s="89"/>
      <c r="G23" s="89"/>
      <c r="H23" s="89"/>
      <c r="I23" s="89"/>
      <c r="J23" s="95"/>
      <c r="K23" s="8"/>
      <c r="L23" s="15"/>
      <c r="M23" s="11"/>
    </row>
    <row r="24" spans="2:13" ht="40.5">
      <c r="B24" s="12"/>
      <c r="C24" s="14"/>
      <c r="D24" s="81" t="s">
        <v>29</v>
      </c>
      <c r="E24" s="81" t="s">
        <v>34</v>
      </c>
      <c r="F24" s="81" t="s">
        <v>33</v>
      </c>
      <c r="G24" s="448" t="s">
        <v>30</v>
      </c>
      <c r="H24" s="448"/>
      <c r="I24" s="448"/>
      <c r="J24" s="81" t="s">
        <v>84</v>
      </c>
      <c r="K24" s="8"/>
      <c r="L24" s="15"/>
      <c r="M24" s="11"/>
    </row>
    <row r="25" spans="2:13" ht="44.25" customHeight="1">
      <c r="B25" s="12"/>
      <c r="C25" s="128" t="s">
        <v>35</v>
      </c>
      <c r="D25" s="82">
        <v>41</v>
      </c>
      <c r="E25" s="82" t="s">
        <v>212</v>
      </c>
      <c r="F25" s="82" t="s">
        <v>63</v>
      </c>
      <c r="G25" s="449" t="s">
        <v>64</v>
      </c>
      <c r="H25" s="449"/>
      <c r="I25" s="449"/>
      <c r="J25" s="460"/>
      <c r="K25" s="133">
        <f t="shared" ref="K25:K27" si="0">D25</f>
        <v>41</v>
      </c>
      <c r="L25" s="134">
        <v>120</v>
      </c>
      <c r="M25" s="127">
        <f>K25*L25</f>
        <v>4920</v>
      </c>
    </row>
    <row r="26" spans="2:13" ht="151.5" customHeight="1">
      <c r="B26" s="12"/>
      <c r="C26" s="128" t="s">
        <v>35</v>
      </c>
      <c r="D26" s="82">
        <v>41</v>
      </c>
      <c r="E26" s="82" t="s">
        <v>31</v>
      </c>
      <c r="F26" s="82" t="s">
        <v>65</v>
      </c>
      <c r="G26" s="453" t="s">
        <v>115</v>
      </c>
      <c r="H26" s="453"/>
      <c r="I26" s="453"/>
      <c r="J26" s="460"/>
      <c r="K26" s="133">
        <f t="shared" si="0"/>
        <v>41</v>
      </c>
      <c r="L26" s="134">
        <v>275</v>
      </c>
      <c r="M26" s="127">
        <f>K26*L26</f>
        <v>11275</v>
      </c>
    </row>
    <row r="27" spans="2:13" ht="54" customHeight="1">
      <c r="B27" s="12"/>
      <c r="C27" s="128" t="s">
        <v>35</v>
      </c>
      <c r="D27" s="82">
        <v>41</v>
      </c>
      <c r="E27" s="82" t="s">
        <v>213</v>
      </c>
      <c r="F27" s="82" t="s">
        <v>63</v>
      </c>
      <c r="G27" s="449" t="s">
        <v>64</v>
      </c>
      <c r="H27" s="449"/>
      <c r="I27" s="449"/>
      <c r="J27" s="460"/>
      <c r="K27" s="133">
        <f t="shared" si="0"/>
        <v>41</v>
      </c>
      <c r="L27" s="134">
        <v>120</v>
      </c>
      <c r="M27" s="127">
        <f>K27*L27</f>
        <v>4920</v>
      </c>
    </row>
    <row r="28" spans="2:13" ht="27" customHeight="1">
      <c r="B28" s="12"/>
      <c r="C28" s="128"/>
      <c r="D28" s="158"/>
      <c r="E28" s="159"/>
      <c r="F28" s="159"/>
      <c r="G28" s="160"/>
      <c r="H28" s="160"/>
      <c r="I28" s="160"/>
      <c r="J28" s="161"/>
      <c r="K28" s="133"/>
      <c r="L28" s="134"/>
      <c r="M28" s="127"/>
    </row>
    <row r="29" spans="2:13" ht="32.25" customHeight="1">
      <c r="B29" s="12"/>
      <c r="C29" s="17"/>
      <c r="D29" s="457" t="s">
        <v>116</v>
      </c>
      <c r="E29" s="458"/>
      <c r="F29" s="458"/>
      <c r="G29" s="458"/>
      <c r="H29" s="458"/>
      <c r="I29" s="458"/>
      <c r="J29" s="459"/>
      <c r="K29" s="19"/>
      <c r="L29" s="16"/>
      <c r="M29" s="163">
        <f>SUM(M32:M34)</f>
        <v>21115</v>
      </c>
    </row>
    <row r="30" spans="2:13" ht="27.75" customHeight="1">
      <c r="B30" s="12"/>
      <c r="C30" s="14"/>
      <c r="D30" s="88" t="s">
        <v>37</v>
      </c>
      <c r="E30" s="89"/>
      <c r="F30" s="89"/>
      <c r="G30" s="89"/>
      <c r="H30" s="89"/>
      <c r="I30" s="89"/>
      <c r="J30" s="95"/>
      <c r="K30" s="8"/>
      <c r="L30" s="15"/>
      <c r="M30" s="11"/>
    </row>
    <row r="31" spans="2:13" ht="54" customHeight="1">
      <c r="B31" s="12"/>
      <c r="C31" s="14"/>
      <c r="D31" s="81" t="s">
        <v>29</v>
      </c>
      <c r="E31" s="81" t="s">
        <v>34</v>
      </c>
      <c r="F31" s="81" t="s">
        <v>33</v>
      </c>
      <c r="G31" s="448" t="s">
        <v>30</v>
      </c>
      <c r="H31" s="448"/>
      <c r="I31" s="448"/>
      <c r="J31" s="81" t="s">
        <v>84</v>
      </c>
      <c r="K31" s="8"/>
      <c r="L31" s="15"/>
      <c r="M31" s="11"/>
    </row>
    <row r="32" spans="2:13" ht="54" customHeight="1">
      <c r="B32" s="12"/>
      <c r="C32" s="128" t="s">
        <v>35</v>
      </c>
      <c r="D32" s="82">
        <v>41</v>
      </c>
      <c r="E32" s="82" t="s">
        <v>212</v>
      </c>
      <c r="F32" s="82" t="s">
        <v>63</v>
      </c>
      <c r="G32" s="449" t="s">
        <v>64</v>
      </c>
      <c r="H32" s="449"/>
      <c r="I32" s="449"/>
      <c r="J32" s="450"/>
      <c r="K32" s="133">
        <f t="shared" ref="K32:K34" si="1">D32</f>
        <v>41</v>
      </c>
      <c r="L32" s="134">
        <v>120</v>
      </c>
      <c r="M32" s="127">
        <f>K32*L32</f>
        <v>4920</v>
      </c>
    </row>
    <row r="33" spans="2:13" ht="149.25" customHeight="1">
      <c r="B33" s="12"/>
      <c r="C33" s="128" t="s">
        <v>35</v>
      </c>
      <c r="D33" s="82">
        <v>41</v>
      </c>
      <c r="E33" s="82" t="s">
        <v>31</v>
      </c>
      <c r="F33" s="82" t="s">
        <v>65</v>
      </c>
      <c r="G33" s="453" t="s">
        <v>115</v>
      </c>
      <c r="H33" s="453"/>
      <c r="I33" s="453"/>
      <c r="J33" s="451"/>
      <c r="K33" s="133">
        <f t="shared" si="1"/>
        <v>41</v>
      </c>
      <c r="L33" s="134">
        <v>275</v>
      </c>
      <c r="M33" s="127">
        <f>K33*L33</f>
        <v>11275</v>
      </c>
    </row>
    <row r="34" spans="2:13" ht="54" customHeight="1">
      <c r="B34" s="12"/>
      <c r="C34" s="128" t="s">
        <v>35</v>
      </c>
      <c r="D34" s="82">
        <v>41</v>
      </c>
      <c r="E34" s="82" t="s">
        <v>75</v>
      </c>
      <c r="F34" s="82" t="s">
        <v>63</v>
      </c>
      <c r="G34" s="449" t="s">
        <v>64</v>
      </c>
      <c r="H34" s="449"/>
      <c r="I34" s="449"/>
      <c r="J34" s="452"/>
      <c r="K34" s="133">
        <f t="shared" si="1"/>
        <v>41</v>
      </c>
      <c r="L34" s="134">
        <v>120</v>
      </c>
      <c r="M34" s="127">
        <f>K34*L34</f>
        <v>4920</v>
      </c>
    </row>
    <row r="35" spans="2:13" ht="24.75" customHeight="1">
      <c r="B35" s="12"/>
      <c r="C35" s="128"/>
      <c r="D35" s="158"/>
      <c r="E35" s="159"/>
      <c r="F35" s="159"/>
      <c r="G35" s="160"/>
      <c r="H35" s="160"/>
      <c r="I35" s="160"/>
      <c r="J35" s="161"/>
      <c r="K35" s="133"/>
      <c r="L35" s="134"/>
      <c r="M35" s="127"/>
    </row>
    <row r="36" spans="2:13" ht="34.5" customHeight="1">
      <c r="B36" s="12"/>
      <c r="C36" s="17"/>
      <c r="D36" s="457" t="s">
        <v>117</v>
      </c>
      <c r="E36" s="458"/>
      <c r="F36" s="458"/>
      <c r="G36" s="458"/>
      <c r="H36" s="458"/>
      <c r="I36" s="458"/>
      <c r="J36" s="459"/>
      <c r="K36" s="19"/>
      <c r="L36" s="16"/>
      <c r="M36" s="163">
        <f>SUM(M39:M41)</f>
        <v>21115</v>
      </c>
    </row>
    <row r="37" spans="2:13" ht="31.5" customHeight="1">
      <c r="B37" s="12"/>
      <c r="C37" s="14"/>
      <c r="D37" s="88" t="s">
        <v>37</v>
      </c>
      <c r="E37" s="89"/>
      <c r="F37" s="89"/>
      <c r="G37" s="89"/>
      <c r="H37" s="89"/>
      <c r="I37" s="89"/>
      <c r="J37" s="95"/>
      <c r="K37" s="8"/>
      <c r="L37" s="15"/>
      <c r="M37" s="11"/>
    </row>
    <row r="38" spans="2:13" ht="54" customHeight="1">
      <c r="B38" s="12"/>
      <c r="C38" s="14"/>
      <c r="D38" s="81" t="s">
        <v>29</v>
      </c>
      <c r="E38" s="81" t="s">
        <v>34</v>
      </c>
      <c r="F38" s="81" t="s">
        <v>33</v>
      </c>
      <c r="G38" s="448" t="s">
        <v>30</v>
      </c>
      <c r="H38" s="448"/>
      <c r="I38" s="448"/>
      <c r="J38" s="81" t="s">
        <v>84</v>
      </c>
      <c r="K38" s="8"/>
      <c r="L38" s="15"/>
      <c r="M38" s="11"/>
    </row>
    <row r="39" spans="2:13" ht="54" customHeight="1">
      <c r="B39" s="12"/>
      <c r="C39" s="128" t="s">
        <v>35</v>
      </c>
      <c r="D39" s="82">
        <v>41</v>
      </c>
      <c r="E39" s="82" t="s">
        <v>74</v>
      </c>
      <c r="F39" s="82" t="s">
        <v>63</v>
      </c>
      <c r="G39" s="449" t="s">
        <v>64</v>
      </c>
      <c r="H39" s="449"/>
      <c r="I39" s="449"/>
      <c r="J39" s="450"/>
      <c r="K39" s="133">
        <f t="shared" ref="K39:K41" si="2">D39</f>
        <v>41</v>
      </c>
      <c r="L39" s="134">
        <v>120</v>
      </c>
      <c r="M39" s="127">
        <f>K39*L39</f>
        <v>4920</v>
      </c>
    </row>
    <row r="40" spans="2:13" ht="148.5" customHeight="1">
      <c r="B40" s="12"/>
      <c r="C40" s="128" t="s">
        <v>35</v>
      </c>
      <c r="D40" s="82">
        <v>41</v>
      </c>
      <c r="E40" s="82" t="s">
        <v>31</v>
      </c>
      <c r="F40" s="82" t="s">
        <v>65</v>
      </c>
      <c r="G40" s="453" t="s">
        <v>115</v>
      </c>
      <c r="H40" s="453"/>
      <c r="I40" s="453"/>
      <c r="J40" s="451"/>
      <c r="K40" s="133">
        <f t="shared" si="2"/>
        <v>41</v>
      </c>
      <c r="L40" s="134">
        <v>275</v>
      </c>
      <c r="M40" s="127">
        <f>K40*L40</f>
        <v>11275</v>
      </c>
    </row>
    <row r="41" spans="2:13" ht="49.5" customHeight="1">
      <c r="B41" s="12"/>
      <c r="C41" s="128" t="s">
        <v>35</v>
      </c>
      <c r="D41" s="82">
        <v>41</v>
      </c>
      <c r="E41" s="82" t="s">
        <v>213</v>
      </c>
      <c r="F41" s="82" t="s">
        <v>63</v>
      </c>
      <c r="G41" s="449" t="s">
        <v>64</v>
      </c>
      <c r="H41" s="449"/>
      <c r="I41" s="449"/>
      <c r="J41" s="452"/>
      <c r="K41" s="133">
        <f t="shared" si="2"/>
        <v>41</v>
      </c>
      <c r="L41" s="134">
        <v>120</v>
      </c>
      <c r="M41" s="127">
        <f>K41*L41</f>
        <v>4920</v>
      </c>
    </row>
    <row r="42" spans="2:13" ht="27" customHeight="1">
      <c r="B42" s="12"/>
      <c r="C42" s="128"/>
      <c r="D42" s="158"/>
      <c r="E42" s="159"/>
      <c r="F42" s="159"/>
      <c r="G42" s="160"/>
      <c r="H42" s="160"/>
      <c r="I42" s="160"/>
      <c r="J42" s="161"/>
      <c r="K42" s="133"/>
      <c r="L42" s="134"/>
      <c r="M42" s="127"/>
    </row>
    <row r="43" spans="2:13" ht="39" customHeight="1">
      <c r="B43" s="12"/>
      <c r="C43" s="17"/>
      <c r="D43" s="457" t="s">
        <v>118</v>
      </c>
      <c r="E43" s="458"/>
      <c r="F43" s="458"/>
      <c r="G43" s="458"/>
      <c r="H43" s="458"/>
      <c r="I43" s="458"/>
      <c r="J43" s="459"/>
      <c r="K43" s="19"/>
      <c r="L43" s="16"/>
      <c r="M43" s="163">
        <f>SUM(M46:M48)</f>
        <v>21115</v>
      </c>
    </row>
    <row r="44" spans="2:13" ht="31.5" customHeight="1">
      <c r="B44" s="12"/>
      <c r="C44" s="14"/>
      <c r="D44" s="88" t="s">
        <v>37</v>
      </c>
      <c r="E44" s="89"/>
      <c r="F44" s="89"/>
      <c r="G44" s="89"/>
      <c r="H44" s="89"/>
      <c r="I44" s="89"/>
      <c r="J44" s="95"/>
      <c r="K44" s="8"/>
      <c r="L44" s="15"/>
      <c r="M44" s="11"/>
    </row>
    <row r="45" spans="2:13" ht="54" customHeight="1">
      <c r="B45" s="12"/>
      <c r="C45" s="14"/>
      <c r="D45" s="81" t="s">
        <v>29</v>
      </c>
      <c r="E45" s="81" t="s">
        <v>34</v>
      </c>
      <c r="F45" s="81" t="s">
        <v>33</v>
      </c>
      <c r="G45" s="448" t="s">
        <v>30</v>
      </c>
      <c r="H45" s="448"/>
      <c r="I45" s="448"/>
      <c r="J45" s="81" t="s">
        <v>84</v>
      </c>
      <c r="K45" s="8"/>
      <c r="L45" s="15"/>
      <c r="M45" s="11"/>
    </row>
    <row r="46" spans="2:13" ht="54" customHeight="1">
      <c r="B46" s="12"/>
      <c r="C46" s="128" t="s">
        <v>35</v>
      </c>
      <c r="D46" s="82">
        <v>41</v>
      </c>
      <c r="E46" s="82" t="s">
        <v>212</v>
      </c>
      <c r="F46" s="82" t="s">
        <v>63</v>
      </c>
      <c r="G46" s="449" t="s">
        <v>64</v>
      </c>
      <c r="H46" s="449"/>
      <c r="I46" s="449"/>
      <c r="J46" s="450"/>
      <c r="K46" s="133">
        <f t="shared" ref="K46:K48" si="3">D46</f>
        <v>41</v>
      </c>
      <c r="L46" s="134">
        <v>120</v>
      </c>
      <c r="M46" s="127">
        <f>K46*L46</f>
        <v>4920</v>
      </c>
    </row>
    <row r="47" spans="2:13" ht="149.25" customHeight="1">
      <c r="B47" s="12"/>
      <c r="C47" s="128" t="s">
        <v>35</v>
      </c>
      <c r="D47" s="82">
        <v>41</v>
      </c>
      <c r="E47" s="82" t="s">
        <v>31</v>
      </c>
      <c r="F47" s="82" t="s">
        <v>65</v>
      </c>
      <c r="G47" s="453" t="s">
        <v>115</v>
      </c>
      <c r="H47" s="453"/>
      <c r="I47" s="453"/>
      <c r="J47" s="451"/>
      <c r="K47" s="133">
        <f t="shared" si="3"/>
        <v>41</v>
      </c>
      <c r="L47" s="134">
        <v>275</v>
      </c>
      <c r="M47" s="127">
        <f>K47*L47</f>
        <v>11275</v>
      </c>
    </row>
    <row r="48" spans="2:13" ht="54" customHeight="1">
      <c r="B48" s="12"/>
      <c r="C48" s="128" t="s">
        <v>35</v>
      </c>
      <c r="D48" s="82">
        <v>41</v>
      </c>
      <c r="E48" s="82" t="s">
        <v>75</v>
      </c>
      <c r="F48" s="82" t="s">
        <v>63</v>
      </c>
      <c r="G48" s="449" t="s">
        <v>64</v>
      </c>
      <c r="H48" s="449"/>
      <c r="I48" s="449"/>
      <c r="J48" s="452"/>
      <c r="K48" s="133">
        <f t="shared" si="3"/>
        <v>41</v>
      </c>
      <c r="L48" s="134">
        <v>120</v>
      </c>
      <c r="M48" s="127">
        <f>K48*L48</f>
        <v>4920</v>
      </c>
    </row>
    <row r="49" spans="2:13" ht="29.25" customHeight="1">
      <c r="B49" s="12"/>
      <c r="C49" s="128"/>
      <c r="D49" s="158"/>
      <c r="E49" s="159"/>
      <c r="F49" s="159"/>
      <c r="G49" s="160"/>
      <c r="H49" s="160"/>
      <c r="I49" s="160"/>
      <c r="J49" s="161"/>
      <c r="K49" s="133"/>
      <c r="L49" s="134"/>
      <c r="M49" s="127"/>
    </row>
    <row r="50" spans="2:13" ht="32.25" customHeight="1">
      <c r="B50" s="12"/>
      <c r="C50" s="17"/>
      <c r="D50" s="457" t="s">
        <v>119</v>
      </c>
      <c r="E50" s="458"/>
      <c r="F50" s="458"/>
      <c r="G50" s="458"/>
      <c r="H50" s="458"/>
      <c r="I50" s="458"/>
      <c r="J50" s="459"/>
      <c r="K50" s="19"/>
      <c r="L50" s="16"/>
      <c r="M50" s="163">
        <f>SUM(M53:M55)</f>
        <v>21115</v>
      </c>
    </row>
    <row r="51" spans="2:13" ht="33" customHeight="1">
      <c r="B51" s="12"/>
      <c r="C51" s="14"/>
      <c r="D51" s="88" t="s">
        <v>37</v>
      </c>
      <c r="E51" s="89"/>
      <c r="F51" s="89"/>
      <c r="G51" s="89"/>
      <c r="H51" s="89"/>
      <c r="I51" s="89"/>
      <c r="J51" s="95"/>
      <c r="K51" s="8"/>
      <c r="L51" s="15"/>
      <c r="M51" s="11"/>
    </row>
    <row r="52" spans="2:13" ht="54" customHeight="1">
      <c r="B52" s="12"/>
      <c r="C52" s="14"/>
      <c r="D52" s="81" t="s">
        <v>29</v>
      </c>
      <c r="E52" s="81" t="s">
        <v>34</v>
      </c>
      <c r="F52" s="81" t="s">
        <v>33</v>
      </c>
      <c r="G52" s="448" t="s">
        <v>30</v>
      </c>
      <c r="H52" s="448"/>
      <c r="I52" s="448"/>
      <c r="J52" s="81" t="s">
        <v>84</v>
      </c>
      <c r="K52" s="8"/>
      <c r="L52" s="15"/>
      <c r="M52" s="11"/>
    </row>
    <row r="53" spans="2:13" ht="54" customHeight="1">
      <c r="B53" s="12"/>
      <c r="C53" s="128" t="s">
        <v>35</v>
      </c>
      <c r="D53" s="82">
        <v>41</v>
      </c>
      <c r="E53" s="82" t="s">
        <v>212</v>
      </c>
      <c r="F53" s="82" t="s">
        <v>63</v>
      </c>
      <c r="G53" s="449" t="s">
        <v>64</v>
      </c>
      <c r="H53" s="449"/>
      <c r="I53" s="449"/>
      <c r="J53" s="450"/>
      <c r="K53" s="133">
        <f t="shared" ref="K53:K55" si="4">D53</f>
        <v>41</v>
      </c>
      <c r="L53" s="134">
        <v>120</v>
      </c>
      <c r="M53" s="127">
        <f>K53*L53</f>
        <v>4920</v>
      </c>
    </row>
    <row r="54" spans="2:13" ht="147" customHeight="1">
      <c r="B54" s="12"/>
      <c r="C54" s="128" t="s">
        <v>35</v>
      </c>
      <c r="D54" s="82">
        <v>41</v>
      </c>
      <c r="E54" s="82" t="s">
        <v>31</v>
      </c>
      <c r="F54" s="82" t="s">
        <v>65</v>
      </c>
      <c r="G54" s="453" t="s">
        <v>115</v>
      </c>
      <c r="H54" s="453"/>
      <c r="I54" s="453"/>
      <c r="J54" s="451"/>
      <c r="K54" s="133">
        <f t="shared" si="4"/>
        <v>41</v>
      </c>
      <c r="L54" s="134">
        <v>275</v>
      </c>
      <c r="M54" s="127">
        <f>K54*L54</f>
        <v>11275</v>
      </c>
    </row>
    <row r="55" spans="2:13" ht="54" customHeight="1">
      <c r="B55" s="12"/>
      <c r="C55" s="128" t="s">
        <v>35</v>
      </c>
      <c r="D55" s="82">
        <v>41</v>
      </c>
      <c r="E55" s="82" t="s">
        <v>213</v>
      </c>
      <c r="F55" s="82" t="s">
        <v>63</v>
      </c>
      <c r="G55" s="449" t="s">
        <v>64</v>
      </c>
      <c r="H55" s="449"/>
      <c r="I55" s="449"/>
      <c r="J55" s="452"/>
      <c r="K55" s="133">
        <f t="shared" si="4"/>
        <v>41</v>
      </c>
      <c r="L55" s="134">
        <v>120</v>
      </c>
      <c r="M55" s="127">
        <f>K55*L55</f>
        <v>4920</v>
      </c>
    </row>
    <row r="56" spans="2:13" ht="23.25" customHeight="1">
      <c r="B56" s="12"/>
      <c r="C56" s="128"/>
      <c r="D56" s="158"/>
      <c r="E56" s="159"/>
      <c r="F56" s="159"/>
      <c r="G56" s="160"/>
      <c r="H56" s="160"/>
      <c r="I56" s="160"/>
      <c r="J56" s="161"/>
      <c r="K56" s="133"/>
      <c r="L56" s="134"/>
      <c r="M56" s="127"/>
    </row>
    <row r="57" spans="2:13" ht="37.5" customHeight="1">
      <c r="B57" s="12"/>
      <c r="C57" s="17"/>
      <c r="D57" s="457" t="s">
        <v>120</v>
      </c>
      <c r="E57" s="458"/>
      <c r="F57" s="458"/>
      <c r="G57" s="458"/>
      <c r="H57" s="458"/>
      <c r="I57" s="458"/>
      <c r="J57" s="459"/>
      <c r="K57" s="19"/>
      <c r="L57" s="16"/>
      <c r="M57" s="163">
        <f>SUM(M60:M62)</f>
        <v>21115</v>
      </c>
    </row>
    <row r="58" spans="2:13" ht="34.5" customHeight="1">
      <c r="B58" s="12"/>
      <c r="C58" s="14"/>
      <c r="D58" s="88" t="s">
        <v>37</v>
      </c>
      <c r="E58" s="89"/>
      <c r="F58" s="89"/>
      <c r="G58" s="89"/>
      <c r="H58" s="89"/>
      <c r="I58" s="89"/>
      <c r="J58" s="95"/>
      <c r="K58" s="8"/>
      <c r="L58" s="15"/>
      <c r="M58" s="11"/>
    </row>
    <row r="59" spans="2:13" ht="54" customHeight="1">
      <c r="B59" s="12"/>
      <c r="C59" s="14"/>
      <c r="D59" s="81" t="s">
        <v>29</v>
      </c>
      <c r="E59" s="81" t="s">
        <v>34</v>
      </c>
      <c r="F59" s="81" t="s">
        <v>33</v>
      </c>
      <c r="G59" s="448" t="s">
        <v>30</v>
      </c>
      <c r="H59" s="448"/>
      <c r="I59" s="448"/>
      <c r="J59" s="81" t="s">
        <v>84</v>
      </c>
      <c r="K59" s="8"/>
      <c r="L59" s="15"/>
      <c r="M59" s="11"/>
    </row>
    <row r="60" spans="2:13" ht="54" customHeight="1">
      <c r="B60" s="12"/>
      <c r="C60" s="128" t="s">
        <v>35</v>
      </c>
      <c r="D60" s="82">
        <v>41</v>
      </c>
      <c r="E60" s="82" t="s">
        <v>212</v>
      </c>
      <c r="F60" s="82" t="s">
        <v>63</v>
      </c>
      <c r="G60" s="449" t="s">
        <v>64</v>
      </c>
      <c r="H60" s="449"/>
      <c r="I60" s="449"/>
      <c r="J60" s="450"/>
      <c r="K60" s="133">
        <f t="shared" ref="K60:K62" si="5">D60</f>
        <v>41</v>
      </c>
      <c r="L60" s="134">
        <v>120</v>
      </c>
      <c r="M60" s="127">
        <f>K60*L60</f>
        <v>4920</v>
      </c>
    </row>
    <row r="61" spans="2:13" ht="148.5" customHeight="1">
      <c r="B61" s="12"/>
      <c r="C61" s="128" t="s">
        <v>35</v>
      </c>
      <c r="D61" s="82">
        <v>41</v>
      </c>
      <c r="E61" s="82" t="s">
        <v>31</v>
      </c>
      <c r="F61" s="82" t="s">
        <v>65</v>
      </c>
      <c r="G61" s="453" t="s">
        <v>115</v>
      </c>
      <c r="H61" s="453"/>
      <c r="I61" s="453"/>
      <c r="J61" s="451"/>
      <c r="K61" s="133">
        <f t="shared" si="5"/>
        <v>41</v>
      </c>
      <c r="L61" s="134">
        <v>275</v>
      </c>
      <c r="M61" s="127">
        <f>K61*L61</f>
        <v>11275</v>
      </c>
    </row>
    <row r="62" spans="2:13" ht="54" customHeight="1">
      <c r="B62" s="12"/>
      <c r="C62" s="128" t="s">
        <v>35</v>
      </c>
      <c r="D62" s="82">
        <v>41</v>
      </c>
      <c r="E62" s="82" t="s">
        <v>213</v>
      </c>
      <c r="F62" s="82" t="s">
        <v>63</v>
      </c>
      <c r="G62" s="449" t="s">
        <v>64</v>
      </c>
      <c r="H62" s="449"/>
      <c r="I62" s="449"/>
      <c r="J62" s="452"/>
      <c r="K62" s="133">
        <f t="shared" si="5"/>
        <v>41</v>
      </c>
      <c r="L62" s="134">
        <v>120</v>
      </c>
      <c r="M62" s="127">
        <f>K62*L62</f>
        <v>4920</v>
      </c>
    </row>
    <row r="63" spans="2:13" ht="23.25" customHeight="1">
      <c r="B63" s="12"/>
      <c r="C63" s="128"/>
      <c r="D63" s="158"/>
      <c r="E63" s="159"/>
      <c r="F63" s="159"/>
      <c r="G63" s="160"/>
      <c r="H63" s="160"/>
      <c r="I63" s="160"/>
      <c r="J63" s="161"/>
      <c r="K63" s="133"/>
      <c r="L63" s="134"/>
      <c r="M63" s="127"/>
    </row>
    <row r="64" spans="2:13" ht="39" customHeight="1">
      <c r="B64" s="12"/>
      <c r="C64" s="17"/>
      <c r="D64" s="457" t="s">
        <v>121</v>
      </c>
      <c r="E64" s="458"/>
      <c r="F64" s="458"/>
      <c r="G64" s="458"/>
      <c r="H64" s="458"/>
      <c r="I64" s="458"/>
      <c r="J64" s="459"/>
      <c r="K64" s="19"/>
      <c r="L64" s="16"/>
      <c r="M64" s="163">
        <f>SUM(M67:M69)</f>
        <v>21115</v>
      </c>
    </row>
    <row r="65" spans="2:13" ht="34.5" customHeight="1">
      <c r="B65" s="12"/>
      <c r="C65" s="14"/>
      <c r="D65" s="88" t="s">
        <v>37</v>
      </c>
      <c r="E65" s="89"/>
      <c r="F65" s="89"/>
      <c r="G65" s="89"/>
      <c r="H65" s="89"/>
      <c r="I65" s="89"/>
      <c r="J65" s="95"/>
      <c r="K65" s="8"/>
      <c r="L65" s="15"/>
      <c r="M65" s="11"/>
    </row>
    <row r="66" spans="2:13" ht="54" customHeight="1">
      <c r="B66" s="12"/>
      <c r="C66" s="14"/>
      <c r="D66" s="81" t="s">
        <v>29</v>
      </c>
      <c r="E66" s="81" t="s">
        <v>34</v>
      </c>
      <c r="F66" s="81" t="s">
        <v>33</v>
      </c>
      <c r="G66" s="448" t="s">
        <v>30</v>
      </c>
      <c r="H66" s="448"/>
      <c r="I66" s="448"/>
      <c r="J66" s="81" t="s">
        <v>84</v>
      </c>
      <c r="K66" s="8"/>
      <c r="L66" s="15"/>
      <c r="M66" s="11"/>
    </row>
    <row r="67" spans="2:13" ht="54" customHeight="1">
      <c r="B67" s="12"/>
      <c r="C67" s="128" t="s">
        <v>35</v>
      </c>
      <c r="D67" s="82">
        <v>41</v>
      </c>
      <c r="E67" s="82" t="s">
        <v>212</v>
      </c>
      <c r="F67" s="82" t="s">
        <v>63</v>
      </c>
      <c r="G67" s="449" t="s">
        <v>64</v>
      </c>
      <c r="H67" s="449"/>
      <c r="I67" s="449"/>
      <c r="J67" s="450"/>
      <c r="K67" s="133">
        <f t="shared" ref="K67:K69" si="6">D67</f>
        <v>41</v>
      </c>
      <c r="L67" s="134">
        <v>120</v>
      </c>
      <c r="M67" s="127">
        <f>K67*L67</f>
        <v>4920</v>
      </c>
    </row>
    <row r="68" spans="2:13" ht="148.5" customHeight="1">
      <c r="B68" s="12"/>
      <c r="C68" s="128" t="s">
        <v>35</v>
      </c>
      <c r="D68" s="82">
        <v>41</v>
      </c>
      <c r="E68" s="82" t="s">
        <v>31</v>
      </c>
      <c r="F68" s="82" t="s">
        <v>65</v>
      </c>
      <c r="G68" s="453" t="s">
        <v>115</v>
      </c>
      <c r="H68" s="453"/>
      <c r="I68" s="453"/>
      <c r="J68" s="451"/>
      <c r="K68" s="133">
        <f t="shared" si="6"/>
        <v>41</v>
      </c>
      <c r="L68" s="134">
        <v>275</v>
      </c>
      <c r="M68" s="127">
        <f>K68*L68</f>
        <v>11275</v>
      </c>
    </row>
    <row r="69" spans="2:13" ht="54" customHeight="1">
      <c r="B69" s="12"/>
      <c r="C69" s="128" t="s">
        <v>35</v>
      </c>
      <c r="D69" s="82">
        <v>41</v>
      </c>
      <c r="E69" s="82" t="s">
        <v>213</v>
      </c>
      <c r="F69" s="82" t="s">
        <v>63</v>
      </c>
      <c r="G69" s="449" t="s">
        <v>64</v>
      </c>
      <c r="H69" s="449"/>
      <c r="I69" s="449"/>
      <c r="J69" s="452"/>
      <c r="K69" s="133">
        <f t="shared" si="6"/>
        <v>41</v>
      </c>
      <c r="L69" s="134">
        <v>120</v>
      </c>
      <c r="M69" s="127">
        <f>K69*L69</f>
        <v>4920</v>
      </c>
    </row>
    <row r="70" spans="2:13" ht="30" customHeight="1">
      <c r="B70" s="12"/>
      <c r="C70" s="128"/>
      <c r="D70" s="158"/>
      <c r="E70" s="159"/>
      <c r="F70" s="159"/>
      <c r="G70" s="160"/>
      <c r="H70" s="160"/>
      <c r="I70" s="160"/>
      <c r="J70" s="161"/>
      <c r="K70" s="133"/>
      <c r="L70" s="134"/>
      <c r="M70" s="127"/>
    </row>
    <row r="71" spans="2:13" ht="39" customHeight="1">
      <c r="B71" s="12"/>
      <c r="C71" s="17"/>
      <c r="D71" s="457" t="s">
        <v>122</v>
      </c>
      <c r="E71" s="458"/>
      <c r="F71" s="458"/>
      <c r="G71" s="458"/>
      <c r="H71" s="458"/>
      <c r="I71" s="458"/>
      <c r="J71" s="459"/>
      <c r="K71" s="19"/>
      <c r="L71" s="16"/>
      <c r="M71" s="163">
        <f>SUM(M74:M76)</f>
        <v>21115</v>
      </c>
    </row>
    <row r="72" spans="2:13" ht="32.25" customHeight="1">
      <c r="B72" s="12"/>
      <c r="C72" s="14"/>
      <c r="D72" s="88" t="s">
        <v>37</v>
      </c>
      <c r="E72" s="89"/>
      <c r="F72" s="89"/>
      <c r="G72" s="89"/>
      <c r="H72" s="89"/>
      <c r="I72" s="89"/>
      <c r="J72" s="95"/>
      <c r="K72" s="8"/>
      <c r="L72" s="15"/>
      <c r="M72" s="11"/>
    </row>
    <row r="73" spans="2:13" ht="54" customHeight="1">
      <c r="B73" s="12"/>
      <c r="C73" s="14"/>
      <c r="D73" s="81" t="s">
        <v>29</v>
      </c>
      <c r="E73" s="81" t="s">
        <v>34</v>
      </c>
      <c r="F73" s="81" t="s">
        <v>33</v>
      </c>
      <c r="G73" s="448" t="s">
        <v>30</v>
      </c>
      <c r="H73" s="448"/>
      <c r="I73" s="448"/>
      <c r="J73" s="81" t="s">
        <v>84</v>
      </c>
      <c r="K73" s="8"/>
      <c r="L73" s="15"/>
      <c r="M73" s="11"/>
    </row>
    <row r="74" spans="2:13" ht="54" customHeight="1">
      <c r="B74" s="12"/>
      <c r="C74" s="128" t="s">
        <v>35</v>
      </c>
      <c r="D74" s="82">
        <v>41</v>
      </c>
      <c r="E74" s="82" t="s">
        <v>212</v>
      </c>
      <c r="F74" s="82" t="s">
        <v>63</v>
      </c>
      <c r="G74" s="449" t="s">
        <v>64</v>
      </c>
      <c r="H74" s="449"/>
      <c r="I74" s="449"/>
      <c r="J74" s="450"/>
      <c r="K74" s="133">
        <f t="shared" ref="K74:K76" si="7">D74</f>
        <v>41</v>
      </c>
      <c r="L74" s="134">
        <v>120</v>
      </c>
      <c r="M74" s="127">
        <f>K74*L74</f>
        <v>4920</v>
      </c>
    </row>
    <row r="75" spans="2:13" ht="150" customHeight="1">
      <c r="B75" s="12"/>
      <c r="C75" s="128" t="s">
        <v>35</v>
      </c>
      <c r="D75" s="82">
        <v>41</v>
      </c>
      <c r="E75" s="82" t="s">
        <v>31</v>
      </c>
      <c r="F75" s="82" t="s">
        <v>65</v>
      </c>
      <c r="G75" s="453" t="s">
        <v>115</v>
      </c>
      <c r="H75" s="453"/>
      <c r="I75" s="453"/>
      <c r="J75" s="451"/>
      <c r="K75" s="133">
        <f t="shared" si="7"/>
        <v>41</v>
      </c>
      <c r="L75" s="134">
        <v>275</v>
      </c>
      <c r="M75" s="127">
        <f>K75*L75</f>
        <v>11275</v>
      </c>
    </row>
    <row r="76" spans="2:13" ht="54" customHeight="1">
      <c r="B76" s="12"/>
      <c r="C76" s="128" t="s">
        <v>35</v>
      </c>
      <c r="D76" s="82">
        <v>41</v>
      </c>
      <c r="E76" s="82" t="s">
        <v>213</v>
      </c>
      <c r="F76" s="82" t="s">
        <v>63</v>
      </c>
      <c r="G76" s="449" t="s">
        <v>64</v>
      </c>
      <c r="H76" s="449"/>
      <c r="I76" s="449"/>
      <c r="J76" s="452"/>
      <c r="K76" s="133">
        <f t="shared" si="7"/>
        <v>41</v>
      </c>
      <c r="L76" s="134">
        <v>120</v>
      </c>
      <c r="M76" s="127">
        <f>K76*L76</f>
        <v>4920</v>
      </c>
    </row>
    <row r="77" spans="2:13" ht="27.75" customHeight="1">
      <c r="B77" s="12"/>
      <c r="C77" s="128"/>
      <c r="D77" s="158"/>
      <c r="E77" s="159"/>
      <c r="F77" s="159"/>
      <c r="G77" s="160"/>
      <c r="H77" s="160"/>
      <c r="I77" s="160"/>
      <c r="J77" s="161"/>
      <c r="K77" s="133"/>
      <c r="L77" s="134"/>
      <c r="M77" s="127"/>
    </row>
    <row r="78" spans="2:13" ht="39" customHeight="1">
      <c r="B78" s="12"/>
      <c r="C78" s="17"/>
      <c r="D78" s="457" t="s">
        <v>123</v>
      </c>
      <c r="E78" s="458"/>
      <c r="F78" s="458"/>
      <c r="G78" s="458"/>
      <c r="H78" s="458"/>
      <c r="I78" s="458"/>
      <c r="J78" s="459"/>
      <c r="K78" s="19"/>
      <c r="L78" s="16"/>
      <c r="M78" s="163">
        <f>SUM(M81:M83)</f>
        <v>21115</v>
      </c>
    </row>
    <row r="79" spans="2:13" ht="34.5" customHeight="1">
      <c r="B79" s="12"/>
      <c r="C79" s="14"/>
      <c r="D79" s="88" t="s">
        <v>37</v>
      </c>
      <c r="E79" s="89"/>
      <c r="F79" s="89"/>
      <c r="G79" s="89"/>
      <c r="H79" s="89"/>
      <c r="I79" s="89"/>
      <c r="J79" s="95"/>
      <c r="K79" s="8"/>
      <c r="L79" s="15"/>
      <c r="M79" s="11"/>
    </row>
    <row r="80" spans="2:13" ht="54" customHeight="1">
      <c r="B80" s="12"/>
      <c r="C80" s="14"/>
      <c r="D80" s="81" t="s">
        <v>29</v>
      </c>
      <c r="E80" s="81" t="s">
        <v>34</v>
      </c>
      <c r="F80" s="81" t="s">
        <v>33</v>
      </c>
      <c r="G80" s="448" t="s">
        <v>30</v>
      </c>
      <c r="H80" s="448"/>
      <c r="I80" s="448"/>
      <c r="J80" s="81" t="s">
        <v>84</v>
      </c>
      <c r="K80" s="8"/>
      <c r="L80" s="15"/>
      <c r="M80" s="11"/>
    </row>
    <row r="81" spans="1:13" ht="54" customHeight="1">
      <c r="B81" s="12"/>
      <c r="C81" s="128" t="s">
        <v>35</v>
      </c>
      <c r="D81" s="82">
        <v>41</v>
      </c>
      <c r="E81" s="82" t="s">
        <v>212</v>
      </c>
      <c r="F81" s="82" t="s">
        <v>63</v>
      </c>
      <c r="G81" s="449" t="s">
        <v>64</v>
      </c>
      <c r="H81" s="449"/>
      <c r="I81" s="449"/>
      <c r="J81" s="450"/>
      <c r="K81" s="133">
        <f t="shared" ref="K81:K83" si="8">D81</f>
        <v>41</v>
      </c>
      <c r="L81" s="134">
        <v>120</v>
      </c>
      <c r="M81" s="127">
        <f>K81*L81</f>
        <v>4920</v>
      </c>
    </row>
    <row r="82" spans="1:13" ht="147.75" customHeight="1">
      <c r="B82" s="12"/>
      <c r="C82" s="128" t="s">
        <v>35</v>
      </c>
      <c r="D82" s="82">
        <v>41</v>
      </c>
      <c r="E82" s="82" t="s">
        <v>31</v>
      </c>
      <c r="F82" s="82" t="s">
        <v>65</v>
      </c>
      <c r="G82" s="453" t="s">
        <v>115</v>
      </c>
      <c r="H82" s="453"/>
      <c r="I82" s="453"/>
      <c r="J82" s="451"/>
      <c r="K82" s="133">
        <f t="shared" si="8"/>
        <v>41</v>
      </c>
      <c r="L82" s="134">
        <v>275</v>
      </c>
      <c r="M82" s="127">
        <f>K82*L82</f>
        <v>11275</v>
      </c>
    </row>
    <row r="83" spans="1:13" ht="54" customHeight="1">
      <c r="B83" s="12"/>
      <c r="C83" s="128" t="s">
        <v>35</v>
      </c>
      <c r="D83" s="82">
        <v>41</v>
      </c>
      <c r="E83" s="82" t="s">
        <v>213</v>
      </c>
      <c r="F83" s="82" t="s">
        <v>63</v>
      </c>
      <c r="G83" s="449" t="s">
        <v>64</v>
      </c>
      <c r="H83" s="449"/>
      <c r="I83" s="449"/>
      <c r="J83" s="452"/>
      <c r="K83" s="133">
        <f t="shared" si="8"/>
        <v>41</v>
      </c>
      <c r="L83" s="134">
        <v>120</v>
      </c>
      <c r="M83" s="127">
        <f>K83*L83</f>
        <v>4920</v>
      </c>
    </row>
    <row r="84" spans="1:13" ht="24.75" customHeight="1">
      <c r="B84" s="12"/>
      <c r="C84" s="128"/>
      <c r="D84" s="158"/>
      <c r="E84" s="159"/>
      <c r="F84" s="159"/>
      <c r="G84" s="160"/>
      <c r="H84" s="160"/>
      <c r="I84" s="160"/>
      <c r="J84" s="161"/>
      <c r="K84" s="133"/>
      <c r="L84" s="134"/>
      <c r="M84" s="127"/>
    </row>
    <row r="85" spans="1:13" ht="29.25" customHeight="1">
      <c r="B85" s="12"/>
      <c r="C85" s="17"/>
      <c r="D85" s="457" t="s">
        <v>124</v>
      </c>
      <c r="E85" s="458"/>
      <c r="F85" s="458"/>
      <c r="G85" s="458"/>
      <c r="H85" s="458"/>
      <c r="I85" s="458"/>
      <c r="J85" s="459"/>
      <c r="K85" s="19"/>
      <c r="L85" s="16"/>
      <c r="M85" s="163">
        <f>SUM(M88:M90)</f>
        <v>21115</v>
      </c>
    </row>
    <row r="86" spans="1:13" ht="21">
      <c r="B86" s="12"/>
      <c r="C86" s="14"/>
      <c r="D86" s="88" t="s">
        <v>37</v>
      </c>
      <c r="E86" s="89"/>
      <c r="F86" s="89"/>
      <c r="G86" s="89"/>
      <c r="H86" s="89"/>
      <c r="I86" s="89"/>
      <c r="J86" s="95"/>
      <c r="K86" s="8"/>
      <c r="L86" s="15"/>
      <c r="M86" s="11"/>
    </row>
    <row r="87" spans="1:13" ht="40.5">
      <c r="B87" s="12"/>
      <c r="C87" s="14"/>
      <c r="D87" s="81" t="s">
        <v>29</v>
      </c>
      <c r="E87" s="81" t="s">
        <v>34</v>
      </c>
      <c r="F87" s="81" t="s">
        <v>33</v>
      </c>
      <c r="G87" s="448" t="s">
        <v>30</v>
      </c>
      <c r="H87" s="448"/>
      <c r="I87" s="448"/>
      <c r="J87" s="81" t="s">
        <v>84</v>
      </c>
      <c r="K87" s="8"/>
      <c r="L87" s="15"/>
      <c r="M87" s="11"/>
    </row>
    <row r="88" spans="1:13" ht="60.75" customHeight="1">
      <c r="A88" s="1" t="s">
        <v>95</v>
      </c>
      <c r="B88" s="12"/>
      <c r="C88" s="128" t="s">
        <v>35</v>
      </c>
      <c r="D88" s="82">
        <v>41</v>
      </c>
      <c r="E88" s="82" t="s">
        <v>212</v>
      </c>
      <c r="F88" s="82" t="s">
        <v>63</v>
      </c>
      <c r="G88" s="449" t="s">
        <v>64</v>
      </c>
      <c r="H88" s="449"/>
      <c r="I88" s="449"/>
      <c r="J88" s="450"/>
      <c r="K88" s="133">
        <f t="shared" ref="K88:K90" si="9">D88</f>
        <v>41</v>
      </c>
      <c r="L88" s="134">
        <v>120</v>
      </c>
      <c r="M88" s="127">
        <f>K88*L88</f>
        <v>4920</v>
      </c>
    </row>
    <row r="89" spans="1:13" ht="150.75" customHeight="1">
      <c r="B89" s="12"/>
      <c r="C89" s="128" t="s">
        <v>35</v>
      </c>
      <c r="D89" s="82">
        <v>41</v>
      </c>
      <c r="E89" s="82" t="s">
        <v>31</v>
      </c>
      <c r="F89" s="82" t="s">
        <v>65</v>
      </c>
      <c r="G89" s="453" t="s">
        <v>115</v>
      </c>
      <c r="H89" s="453"/>
      <c r="I89" s="453"/>
      <c r="J89" s="451"/>
      <c r="K89" s="133">
        <f t="shared" si="9"/>
        <v>41</v>
      </c>
      <c r="L89" s="134">
        <v>275</v>
      </c>
      <c r="M89" s="127">
        <f>K89*L89</f>
        <v>11275</v>
      </c>
    </row>
    <row r="90" spans="1:13" ht="72.75" customHeight="1">
      <c r="B90" s="12"/>
      <c r="C90" s="128" t="s">
        <v>35</v>
      </c>
      <c r="D90" s="82">
        <v>41</v>
      </c>
      <c r="E90" s="82" t="s">
        <v>213</v>
      </c>
      <c r="F90" s="82" t="s">
        <v>63</v>
      </c>
      <c r="G90" s="449" t="s">
        <v>64</v>
      </c>
      <c r="H90" s="449"/>
      <c r="I90" s="449"/>
      <c r="J90" s="452"/>
      <c r="K90" s="133">
        <f t="shared" si="9"/>
        <v>41</v>
      </c>
      <c r="L90" s="134">
        <v>120</v>
      </c>
      <c r="M90" s="127">
        <f>K90*L90</f>
        <v>4920</v>
      </c>
    </row>
    <row r="91" spans="1:13" ht="20.25">
      <c r="B91" s="12"/>
      <c r="C91" s="17"/>
      <c r="D91" s="86"/>
      <c r="E91" s="74"/>
      <c r="F91" s="74"/>
      <c r="G91" s="74"/>
      <c r="H91" s="74"/>
      <c r="I91" s="74"/>
      <c r="J91" s="74"/>
      <c r="K91" s="19"/>
      <c r="L91" s="16"/>
      <c r="M91" s="11"/>
    </row>
    <row r="92" spans="1:13" ht="20.25">
      <c r="B92" s="3"/>
      <c r="C92" s="14"/>
      <c r="D92" s="85" t="s">
        <v>82</v>
      </c>
      <c r="E92" s="74"/>
      <c r="F92" s="74"/>
      <c r="G92" s="74"/>
      <c r="H92" s="74"/>
      <c r="I92" s="74"/>
      <c r="J92" s="74"/>
      <c r="K92" s="8"/>
      <c r="L92" s="15"/>
      <c r="M92" s="11"/>
    </row>
    <row r="93" spans="1:13" ht="18" customHeight="1">
      <c r="B93" s="3"/>
      <c r="C93" s="78"/>
      <c r="D93" s="87" t="s">
        <v>88</v>
      </c>
      <c r="E93" s="75"/>
      <c r="F93" s="76"/>
      <c r="G93" s="75"/>
      <c r="H93" s="75"/>
      <c r="I93" s="76"/>
      <c r="J93" s="75"/>
      <c r="K93" s="92"/>
      <c r="L93" s="94"/>
      <c r="M93" s="79"/>
    </row>
    <row r="94" spans="1:13" ht="20.25">
      <c r="B94" s="3"/>
      <c r="C94" s="78"/>
      <c r="D94" s="87" t="s">
        <v>89</v>
      </c>
      <c r="E94" s="75"/>
      <c r="F94" s="76"/>
      <c r="G94" s="75"/>
      <c r="H94" s="75"/>
      <c r="I94" s="76"/>
      <c r="J94" s="75"/>
      <c r="K94" s="92"/>
      <c r="L94" s="94"/>
      <c r="M94" s="79"/>
    </row>
    <row r="95" spans="1:13" ht="45" customHeight="1">
      <c r="B95" s="3"/>
      <c r="C95" s="14"/>
      <c r="D95" s="469" t="s">
        <v>90</v>
      </c>
      <c r="E95" s="470"/>
      <c r="F95" s="470"/>
      <c r="G95" s="470"/>
      <c r="H95" s="470"/>
      <c r="I95" s="470"/>
      <c r="J95" s="471"/>
      <c r="K95" s="8"/>
      <c r="L95" s="15"/>
      <c r="M95" s="11"/>
    </row>
    <row r="96" spans="1:13" ht="22.5" customHeight="1">
      <c r="B96" s="140"/>
      <c r="C96" s="14"/>
      <c r="D96" s="131"/>
      <c r="E96" s="132"/>
      <c r="F96" s="132"/>
      <c r="G96" s="132"/>
      <c r="H96" s="132"/>
      <c r="I96" s="132"/>
      <c r="J96" s="138"/>
      <c r="K96" s="14"/>
      <c r="L96" s="15"/>
      <c r="M96" s="11"/>
    </row>
    <row r="97" spans="2:13" ht="20.25" customHeight="1">
      <c r="B97" s="140"/>
      <c r="C97" s="14"/>
      <c r="D97" s="361" t="s">
        <v>39</v>
      </c>
      <c r="E97" s="362"/>
      <c r="F97" s="362"/>
      <c r="G97" s="362"/>
      <c r="H97" s="362"/>
      <c r="I97" s="362"/>
      <c r="J97" s="382"/>
      <c r="K97" s="14"/>
      <c r="L97" s="15"/>
      <c r="M97" s="11"/>
    </row>
    <row r="98" spans="2:13" ht="20.25" customHeight="1">
      <c r="B98" s="140"/>
      <c r="C98" s="14"/>
      <c r="D98" s="472" t="s">
        <v>94</v>
      </c>
      <c r="E98" s="383"/>
      <c r="F98" s="383"/>
      <c r="G98" s="383"/>
      <c r="H98" s="383"/>
      <c r="I98" s="383"/>
      <c r="J98" s="384"/>
      <c r="K98" s="14"/>
      <c r="L98" s="15"/>
      <c r="M98" s="11"/>
    </row>
    <row r="99" spans="2:13" ht="20.25" customHeight="1">
      <c r="B99" s="140"/>
      <c r="C99" s="14"/>
      <c r="D99" s="147"/>
      <c r="E99" s="148"/>
      <c r="F99" s="148"/>
      <c r="G99" s="148"/>
      <c r="H99" s="148"/>
      <c r="I99" s="148"/>
      <c r="J99" s="149"/>
      <c r="K99" s="14"/>
      <c r="L99" s="15"/>
      <c r="M99" s="11"/>
    </row>
    <row r="100" spans="2:13" ht="20.25" customHeight="1">
      <c r="B100" s="140"/>
      <c r="C100" s="14"/>
      <c r="D100" s="361" t="s">
        <v>207</v>
      </c>
      <c r="E100" s="362"/>
      <c r="F100" s="362"/>
      <c r="G100" s="362"/>
      <c r="H100" s="362"/>
      <c r="I100" s="362"/>
      <c r="J100" s="382"/>
      <c r="K100" s="14"/>
      <c r="L100" s="15"/>
      <c r="M100" s="11"/>
    </row>
    <row r="101" spans="2:13" ht="20.25" customHeight="1">
      <c r="B101" s="140"/>
      <c r="C101" s="14"/>
      <c r="D101" s="472" t="s">
        <v>205</v>
      </c>
      <c r="E101" s="383"/>
      <c r="F101" s="383"/>
      <c r="G101" s="148"/>
      <c r="H101" s="148"/>
      <c r="I101" s="148"/>
      <c r="J101" s="149"/>
      <c r="K101" s="14"/>
      <c r="L101" s="15"/>
      <c r="M101" s="11"/>
    </row>
    <row r="102" spans="2:13" ht="20.25" customHeight="1">
      <c r="B102" s="140"/>
      <c r="C102" s="14"/>
      <c r="D102" s="473" t="s">
        <v>214</v>
      </c>
      <c r="E102" s="474"/>
      <c r="F102" s="474"/>
      <c r="G102" s="474"/>
      <c r="H102" s="474"/>
      <c r="I102" s="474"/>
      <c r="J102" s="475"/>
      <c r="K102" s="14"/>
      <c r="L102" s="15"/>
      <c r="M102" s="11"/>
    </row>
    <row r="103" spans="2:13" ht="18">
      <c r="B103" s="49"/>
      <c r="C103" s="51"/>
      <c r="D103" s="65"/>
      <c r="E103" s="66"/>
      <c r="F103" s="66"/>
      <c r="G103" s="66"/>
      <c r="H103" s="66"/>
      <c r="I103" s="66"/>
      <c r="J103" s="67"/>
      <c r="K103" s="461" t="s">
        <v>20</v>
      </c>
      <c r="L103" s="462"/>
      <c r="M103" s="96">
        <f>SUM(M85,M78,M71,M64,M57,M50,M43,M36,M29,M22)</f>
        <v>211150</v>
      </c>
    </row>
    <row r="104" spans="2:13" ht="29.25" customHeight="1">
      <c r="B104" s="402" t="s">
        <v>183</v>
      </c>
      <c r="C104" s="403"/>
      <c r="D104" s="403"/>
      <c r="E104" s="403"/>
      <c r="F104" s="403"/>
      <c r="G104" s="403"/>
      <c r="H104" s="403"/>
      <c r="I104" s="403"/>
      <c r="J104" s="403"/>
      <c r="K104" s="403"/>
      <c r="L104" s="403"/>
      <c r="M104" s="404"/>
    </row>
    <row r="105" spans="2:13" ht="15">
      <c r="B105" s="466" t="s">
        <v>185</v>
      </c>
      <c r="C105" s="467"/>
      <c r="D105" s="467"/>
      <c r="E105" s="467"/>
      <c r="F105" s="467"/>
      <c r="G105" s="467"/>
      <c r="H105" s="467"/>
      <c r="I105" s="467"/>
      <c r="J105" s="467"/>
      <c r="K105" s="467"/>
      <c r="L105" s="467"/>
      <c r="M105" s="468"/>
    </row>
    <row r="106" spans="2:13" ht="15">
      <c r="B106" s="49"/>
      <c r="C106" s="21"/>
      <c r="D106" s="21"/>
      <c r="E106" s="21"/>
      <c r="F106" s="21"/>
      <c r="G106" s="21"/>
      <c r="H106" s="21"/>
      <c r="I106" s="21"/>
      <c r="J106" s="21"/>
      <c r="K106" s="21"/>
      <c r="L106" s="21"/>
      <c r="M106" s="50"/>
    </row>
    <row r="107" spans="2:13" ht="15">
      <c r="B107" s="49"/>
      <c r="C107" s="21"/>
      <c r="D107" s="21"/>
      <c r="E107" s="21"/>
      <c r="F107" s="21"/>
      <c r="G107" s="21"/>
      <c r="H107" s="21"/>
      <c r="I107" s="21"/>
      <c r="J107" s="21" t="s">
        <v>23</v>
      </c>
      <c r="K107" s="21"/>
      <c r="L107" s="21"/>
      <c r="M107" s="50"/>
    </row>
    <row r="108" spans="2:13" ht="15">
      <c r="B108" s="49"/>
      <c r="C108" s="21"/>
      <c r="D108" s="21"/>
      <c r="E108" s="21"/>
      <c r="F108" s="21"/>
      <c r="G108" s="21"/>
      <c r="H108" s="21"/>
      <c r="I108" s="21"/>
      <c r="J108" s="21"/>
      <c r="K108" s="21"/>
      <c r="L108" s="21"/>
      <c r="M108" s="50"/>
    </row>
    <row r="109" spans="2:13" ht="49.5" customHeight="1">
      <c r="B109" s="125" t="s">
        <v>22</v>
      </c>
      <c r="C109" s="21"/>
      <c r="D109" s="21"/>
      <c r="E109" s="21"/>
      <c r="F109" s="21"/>
      <c r="G109" s="21"/>
      <c r="H109" s="21"/>
      <c r="I109" s="21"/>
      <c r="J109" s="21"/>
      <c r="K109" s="21"/>
      <c r="L109" s="21"/>
      <c r="M109" s="50"/>
    </row>
    <row r="110" spans="2:13" ht="18.75" thickBot="1">
      <c r="B110" s="49"/>
      <c r="C110" s="53"/>
      <c r="D110" s="53"/>
      <c r="E110" s="53"/>
      <c r="F110" s="21"/>
      <c r="G110" s="21"/>
      <c r="H110" s="21"/>
      <c r="I110" s="54"/>
      <c r="J110" s="102" t="s">
        <v>93</v>
      </c>
      <c r="K110" s="54"/>
      <c r="L110" s="54"/>
      <c r="M110" s="50"/>
    </row>
    <row r="111" spans="2:13" ht="18">
      <c r="B111" s="49"/>
      <c r="C111" s="463" t="s">
        <v>21</v>
      </c>
      <c r="D111" s="463"/>
      <c r="E111" s="463"/>
      <c r="F111" s="55"/>
      <c r="G111" s="55"/>
      <c r="H111" s="21"/>
      <c r="I111" s="56"/>
      <c r="J111" s="103" t="s">
        <v>91</v>
      </c>
      <c r="K111" s="56"/>
      <c r="L111" s="56"/>
      <c r="M111" s="50"/>
    </row>
    <row r="112" spans="2:13" ht="18">
      <c r="B112" s="49"/>
      <c r="C112" s="55"/>
      <c r="D112" s="55"/>
      <c r="E112" s="55"/>
      <c r="F112" s="55" t="s">
        <v>66</v>
      </c>
      <c r="G112" s="55"/>
      <c r="H112" s="21"/>
      <c r="I112" s="56"/>
      <c r="J112" s="103"/>
      <c r="K112" s="56"/>
      <c r="L112" s="56"/>
      <c r="M112" s="50"/>
    </row>
    <row r="113" spans="2:13" ht="15.75" thickBot="1">
      <c r="B113" s="49"/>
      <c r="C113" s="53"/>
      <c r="D113" s="53"/>
      <c r="E113" s="53"/>
      <c r="F113" s="21"/>
      <c r="G113" s="21"/>
      <c r="H113" s="21"/>
      <c r="I113" s="21"/>
      <c r="J113" s="21"/>
      <c r="K113" s="21"/>
      <c r="L113" s="21"/>
      <c r="M113" s="50"/>
    </row>
    <row r="114" spans="2:13" ht="15">
      <c r="B114" s="57"/>
      <c r="C114" s="464" t="s">
        <v>1</v>
      </c>
      <c r="D114" s="464"/>
      <c r="E114" s="464"/>
      <c r="F114" s="58"/>
      <c r="G114" s="58"/>
      <c r="H114" s="59"/>
      <c r="I114" s="59"/>
      <c r="J114" s="59"/>
      <c r="K114" s="59"/>
      <c r="L114" s="59"/>
      <c r="M114" s="50"/>
    </row>
    <row r="115" spans="2:13" ht="18.75" thickBot="1">
      <c r="B115" s="97" t="s">
        <v>24</v>
      </c>
      <c r="C115" s="98"/>
      <c r="D115" s="98"/>
      <c r="E115" s="98"/>
      <c r="F115" s="98"/>
      <c r="G115" s="98"/>
      <c r="H115" s="98"/>
      <c r="I115" s="98" t="s">
        <v>25</v>
      </c>
      <c r="J115" s="53"/>
      <c r="K115" s="53"/>
      <c r="L115" s="53"/>
      <c r="M115" s="60"/>
    </row>
    <row r="116" spans="2:13" ht="18.75" thickBot="1">
      <c r="B116" s="97"/>
      <c r="C116" s="98"/>
      <c r="D116" s="98"/>
      <c r="E116" s="98"/>
      <c r="F116" s="98"/>
      <c r="G116" s="98"/>
      <c r="H116" s="98"/>
      <c r="I116" s="98"/>
      <c r="J116" s="53"/>
      <c r="K116" s="53"/>
      <c r="L116" s="53"/>
      <c r="M116" s="61"/>
    </row>
    <row r="117" spans="2:13" ht="18.75" thickBot="1">
      <c r="B117" s="99"/>
      <c r="C117" s="465" t="s">
        <v>73</v>
      </c>
      <c r="D117" s="465"/>
      <c r="E117" s="465"/>
      <c r="F117" s="100"/>
      <c r="G117" s="100"/>
      <c r="H117" s="98"/>
      <c r="I117" s="98" t="s">
        <v>26</v>
      </c>
      <c r="J117" s="53"/>
      <c r="K117" s="53"/>
      <c r="L117" s="53"/>
      <c r="M117" s="61"/>
    </row>
    <row r="118" spans="2:13" ht="18.75" thickBot="1">
      <c r="B118" s="476" t="s">
        <v>206</v>
      </c>
      <c r="C118" s="477"/>
      <c r="D118" s="477"/>
      <c r="E118" s="477"/>
      <c r="F118" s="477"/>
      <c r="G118" s="477"/>
      <c r="H118" s="101"/>
      <c r="I118" s="101"/>
      <c r="J118" s="53"/>
      <c r="K118" s="53"/>
      <c r="L118" s="53"/>
      <c r="M118" s="61"/>
    </row>
  </sheetData>
  <mergeCells count="100">
    <mergeCell ref="D78:J78"/>
    <mergeCell ref="G80:I80"/>
    <mergeCell ref="G81:I81"/>
    <mergeCell ref="J81:J83"/>
    <mergeCell ref="G82:I82"/>
    <mergeCell ref="G83:I83"/>
    <mergeCell ref="J74:J76"/>
    <mergeCell ref="G76:I76"/>
    <mergeCell ref="D64:J64"/>
    <mergeCell ref="G66:I66"/>
    <mergeCell ref="G67:I67"/>
    <mergeCell ref="J67:J69"/>
    <mergeCell ref="G68:I68"/>
    <mergeCell ref="G69:I69"/>
    <mergeCell ref="G73:I73"/>
    <mergeCell ref="G74:I74"/>
    <mergeCell ref="G75:I75"/>
    <mergeCell ref="D71:J71"/>
    <mergeCell ref="G59:I59"/>
    <mergeCell ref="G60:I60"/>
    <mergeCell ref="J60:J62"/>
    <mergeCell ref="G61:I61"/>
    <mergeCell ref="G62:I62"/>
    <mergeCell ref="G53:I53"/>
    <mergeCell ref="J53:J55"/>
    <mergeCell ref="G54:I54"/>
    <mergeCell ref="G55:I55"/>
    <mergeCell ref="D57:J57"/>
    <mergeCell ref="J46:J48"/>
    <mergeCell ref="G47:I47"/>
    <mergeCell ref="G48:I48"/>
    <mergeCell ref="D50:J50"/>
    <mergeCell ref="G52:I52"/>
    <mergeCell ref="D102:J102"/>
    <mergeCell ref="B118:G118"/>
    <mergeCell ref="D29:J29"/>
    <mergeCell ref="G31:I31"/>
    <mergeCell ref="G32:I32"/>
    <mergeCell ref="J32:J34"/>
    <mergeCell ref="G33:I33"/>
    <mergeCell ref="G34:I34"/>
    <mergeCell ref="D36:J36"/>
    <mergeCell ref="G38:I38"/>
    <mergeCell ref="G39:I39"/>
    <mergeCell ref="J39:J41"/>
    <mergeCell ref="G40:I40"/>
    <mergeCell ref="G41:I41"/>
    <mergeCell ref="D43:J43"/>
    <mergeCell ref="G45:I45"/>
    <mergeCell ref="D95:J95"/>
    <mergeCell ref="D97:J97"/>
    <mergeCell ref="D98:J98"/>
    <mergeCell ref="D100:J100"/>
    <mergeCell ref="D101:F101"/>
    <mergeCell ref="K103:L103"/>
    <mergeCell ref="B104:M104"/>
    <mergeCell ref="C111:E111"/>
    <mergeCell ref="C114:E114"/>
    <mergeCell ref="C117:E117"/>
    <mergeCell ref="B105:M105"/>
    <mergeCell ref="D16:J16"/>
    <mergeCell ref="D17:J18"/>
    <mergeCell ref="G87:I87"/>
    <mergeCell ref="G88:I88"/>
    <mergeCell ref="J88:J90"/>
    <mergeCell ref="G89:I89"/>
    <mergeCell ref="G90:I90"/>
    <mergeCell ref="D20:J20"/>
    <mergeCell ref="D85:J85"/>
    <mergeCell ref="D22:J22"/>
    <mergeCell ref="G24:I24"/>
    <mergeCell ref="G25:I25"/>
    <mergeCell ref="J25:J27"/>
    <mergeCell ref="G26:I26"/>
    <mergeCell ref="G27:I27"/>
    <mergeCell ref="G46:I46"/>
    <mergeCell ref="B13:M13"/>
    <mergeCell ref="B14:B15"/>
    <mergeCell ref="C14:H15"/>
    <mergeCell ref="I14:J14"/>
    <mergeCell ref="K14:M14"/>
    <mergeCell ref="I15:J15"/>
    <mergeCell ref="K15:M15"/>
    <mergeCell ref="B9:B10"/>
    <mergeCell ref="C9:I10"/>
    <mergeCell ref="B12:M12"/>
    <mergeCell ref="J8:K10"/>
    <mergeCell ref="L8:M10"/>
    <mergeCell ref="J5:K5"/>
    <mergeCell ref="L5:M5"/>
    <mergeCell ref="C6:I6"/>
    <mergeCell ref="B7:B8"/>
    <mergeCell ref="C7:I8"/>
    <mergeCell ref="B2:B5"/>
    <mergeCell ref="C4:I5"/>
    <mergeCell ref="C2:I3"/>
    <mergeCell ref="J2:K4"/>
    <mergeCell ref="L2:M4"/>
    <mergeCell ref="J6:K7"/>
    <mergeCell ref="L6:M7"/>
  </mergeCells>
  <printOptions horizontalCentered="1"/>
  <pageMargins left="0.2" right="0.2" top="0.25" bottom="0.25" header="0.3" footer="0.3"/>
  <pageSetup paperSize="9" scale="4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742D9-B43D-42CE-BA8E-985730A43BFA}">
  <sheetPr codeName="Sheet2">
    <tabColor rgb="FFC00000"/>
    <pageSetUpPr fitToPage="1"/>
  </sheetPr>
  <dimension ref="B1:M76"/>
  <sheetViews>
    <sheetView view="pageBreakPreview" topLeftCell="A23" zoomScale="69" zoomScaleNormal="100" zoomScaleSheetLayoutView="69" workbookViewId="0">
      <selection activeCell="E41" sqref="E41"/>
    </sheetView>
  </sheetViews>
  <sheetFormatPr defaultColWidth="9.140625" defaultRowHeight="14.25"/>
  <cols>
    <col min="1" max="1" width="15.42578125" style="1" customWidth="1"/>
    <col min="2" max="2" width="16.140625" style="2" customWidth="1"/>
    <col min="3" max="3" width="9.5703125" style="1" customWidth="1"/>
    <col min="4" max="4" width="13.5703125" style="1" customWidth="1"/>
    <col min="5" max="5" width="21.140625" style="1" customWidth="1"/>
    <col min="6" max="6" width="24.7109375" style="1" customWidth="1"/>
    <col min="7" max="7" width="12.28515625" style="1" customWidth="1"/>
    <col min="8" max="8" width="16.7109375" style="1" customWidth="1"/>
    <col min="9" max="9" width="17" style="1" customWidth="1"/>
    <col min="10" max="10" width="27.85546875" style="1" customWidth="1"/>
    <col min="11" max="11" width="11.7109375" style="1" customWidth="1"/>
    <col min="12" max="12" width="14.140625" style="1" customWidth="1"/>
    <col min="13" max="13" width="20.5703125" style="1" customWidth="1"/>
    <col min="14" max="16384" width="9.140625" style="1"/>
  </cols>
  <sheetData>
    <row r="1" spans="2:13" ht="15" thickBot="1">
      <c r="B1" s="1"/>
    </row>
    <row r="2" spans="2:13" ht="25.5" customHeight="1">
      <c r="B2" s="307"/>
      <c r="C2" s="412" t="s">
        <v>0</v>
      </c>
      <c r="D2" s="413"/>
      <c r="E2" s="413"/>
      <c r="F2" s="413"/>
      <c r="G2" s="413"/>
      <c r="H2" s="413"/>
      <c r="I2" s="414"/>
      <c r="J2" s="316" t="s">
        <v>181</v>
      </c>
      <c r="K2" s="317"/>
      <c r="L2" s="322" t="s">
        <v>127</v>
      </c>
      <c r="M2" s="323"/>
    </row>
    <row r="3" spans="2:13" ht="14.25" customHeight="1">
      <c r="B3" s="308"/>
      <c r="C3" s="415"/>
      <c r="D3" s="416"/>
      <c r="E3" s="416"/>
      <c r="F3" s="416"/>
      <c r="G3" s="416"/>
      <c r="H3" s="416"/>
      <c r="I3" s="417"/>
      <c r="J3" s="318"/>
      <c r="K3" s="319"/>
      <c r="L3" s="324"/>
      <c r="M3" s="325"/>
    </row>
    <row r="4" spans="2:13" ht="24.75" customHeight="1">
      <c r="B4" s="308"/>
      <c r="C4" s="328" t="s">
        <v>27</v>
      </c>
      <c r="D4" s="329"/>
      <c r="E4" s="329"/>
      <c r="F4" s="329"/>
      <c r="G4" s="329"/>
      <c r="H4" s="329"/>
      <c r="I4" s="330"/>
      <c r="J4" s="320"/>
      <c r="K4" s="321"/>
      <c r="L4" s="326"/>
      <c r="M4" s="327"/>
    </row>
    <row r="5" spans="2:13" ht="30" customHeight="1">
      <c r="B5" s="309"/>
      <c r="C5" s="331"/>
      <c r="D5" s="332"/>
      <c r="E5" s="332"/>
      <c r="F5" s="332"/>
      <c r="G5" s="332"/>
      <c r="H5" s="332"/>
      <c r="I5" s="333"/>
      <c r="J5" s="334" t="s">
        <v>1</v>
      </c>
      <c r="K5" s="335"/>
      <c r="L5" s="336" t="s">
        <v>182</v>
      </c>
      <c r="M5" s="337"/>
    </row>
    <row r="6" spans="2:13" ht="18">
      <c r="B6" s="91" t="s">
        <v>3</v>
      </c>
      <c r="C6" s="487" t="s">
        <v>186</v>
      </c>
      <c r="D6" s="488"/>
      <c r="E6" s="488"/>
      <c r="F6" s="488"/>
      <c r="G6" s="488"/>
      <c r="H6" s="488"/>
      <c r="I6" s="489"/>
      <c r="J6" s="276" t="s">
        <v>4</v>
      </c>
      <c r="K6" s="277"/>
      <c r="L6" s="280" t="s">
        <v>43</v>
      </c>
      <c r="M6" s="281"/>
    </row>
    <row r="7" spans="2:13" ht="26.25" customHeight="1">
      <c r="B7" s="411" t="s">
        <v>2</v>
      </c>
      <c r="C7" s="490" t="s">
        <v>187</v>
      </c>
      <c r="D7" s="490"/>
      <c r="E7" s="490"/>
      <c r="F7" s="490"/>
      <c r="G7" s="490"/>
      <c r="H7" s="490"/>
      <c r="I7" s="490"/>
      <c r="J7" s="278"/>
      <c r="K7" s="279"/>
      <c r="L7" s="282"/>
      <c r="M7" s="283"/>
    </row>
    <row r="8" spans="2:13" ht="22.5" customHeight="1">
      <c r="B8" s="411"/>
      <c r="C8" s="490"/>
      <c r="D8" s="490"/>
      <c r="E8" s="490"/>
      <c r="F8" s="490"/>
      <c r="G8" s="490"/>
      <c r="H8" s="490"/>
      <c r="I8" s="490"/>
      <c r="J8" s="276" t="s">
        <v>5</v>
      </c>
      <c r="K8" s="277"/>
      <c r="L8" s="291" t="s">
        <v>188</v>
      </c>
      <c r="M8" s="292"/>
    </row>
    <row r="9" spans="2:13" ht="21.75" customHeight="1">
      <c r="B9" s="297" t="s">
        <v>80</v>
      </c>
      <c r="C9" s="478">
        <v>9369655025</v>
      </c>
      <c r="D9" s="479"/>
      <c r="E9" s="479"/>
      <c r="F9" s="479"/>
      <c r="G9" s="479"/>
      <c r="H9" s="479"/>
      <c r="I9" s="480"/>
      <c r="J9" s="287"/>
      <c r="K9" s="288"/>
      <c r="L9" s="293"/>
      <c r="M9" s="294"/>
    </row>
    <row r="10" spans="2:13" ht="49.5" customHeight="1" thickBot="1">
      <c r="B10" s="298"/>
      <c r="C10" s="481"/>
      <c r="D10" s="482"/>
      <c r="E10" s="482"/>
      <c r="F10" s="482"/>
      <c r="G10" s="482"/>
      <c r="H10" s="482"/>
      <c r="I10" s="483"/>
      <c r="J10" s="289"/>
      <c r="K10" s="290"/>
      <c r="L10" s="295"/>
      <c r="M10" s="296"/>
    </row>
    <row r="11" spans="2:13" ht="3" customHeight="1" thickBot="1">
      <c r="B11" s="4"/>
      <c r="C11" s="5"/>
      <c r="D11" s="5"/>
      <c r="E11" s="5"/>
      <c r="F11" s="5"/>
      <c r="G11" s="5"/>
      <c r="H11" s="5"/>
      <c r="I11" s="5"/>
      <c r="J11" s="5"/>
      <c r="K11" s="5"/>
      <c r="L11" s="6"/>
      <c r="M11" s="7"/>
    </row>
    <row r="12" spans="2:13">
      <c r="B12" s="338" t="s">
        <v>7</v>
      </c>
      <c r="C12" s="339"/>
      <c r="D12" s="339"/>
      <c r="E12" s="339"/>
      <c r="F12" s="339"/>
      <c r="G12" s="339"/>
      <c r="H12" s="339"/>
      <c r="I12" s="339"/>
      <c r="J12" s="339"/>
      <c r="K12" s="339"/>
      <c r="L12" s="339"/>
      <c r="M12" s="340"/>
    </row>
    <row r="13" spans="2:13" ht="15.75">
      <c r="B13" s="341" t="s">
        <v>8</v>
      </c>
      <c r="C13" s="342"/>
      <c r="D13" s="342"/>
      <c r="E13" s="342"/>
      <c r="F13" s="342"/>
      <c r="G13" s="342"/>
      <c r="H13" s="342"/>
      <c r="I13" s="342"/>
      <c r="J13" s="342"/>
      <c r="K13" s="342"/>
      <c r="L13" s="342"/>
      <c r="M13" s="343"/>
    </row>
    <row r="14" spans="2:13" ht="54.75" customHeight="1">
      <c r="B14" s="430" t="s">
        <v>9</v>
      </c>
      <c r="C14" s="280" t="s">
        <v>71</v>
      </c>
      <c r="D14" s="346"/>
      <c r="E14" s="346"/>
      <c r="F14" s="346"/>
      <c r="G14" s="346"/>
      <c r="H14" s="347"/>
      <c r="I14" s="432" t="s">
        <v>10</v>
      </c>
      <c r="J14" s="433"/>
      <c r="K14" s="484" t="s">
        <v>128</v>
      </c>
      <c r="L14" s="485"/>
      <c r="M14" s="486"/>
    </row>
    <row r="15" spans="2:13" ht="39.75" customHeight="1">
      <c r="B15" s="431"/>
      <c r="C15" s="282"/>
      <c r="D15" s="348"/>
      <c r="E15" s="348"/>
      <c r="F15" s="348"/>
      <c r="G15" s="348"/>
      <c r="H15" s="349"/>
      <c r="I15" s="432" t="s">
        <v>11</v>
      </c>
      <c r="J15" s="433"/>
      <c r="K15" s="437" t="s">
        <v>112</v>
      </c>
      <c r="L15" s="438"/>
      <c r="M15" s="439"/>
    </row>
    <row r="16" spans="2:13">
      <c r="B16" s="69" t="s">
        <v>12</v>
      </c>
      <c r="C16" s="70" t="s">
        <v>13</v>
      </c>
      <c r="D16" s="440" t="s">
        <v>14</v>
      </c>
      <c r="E16" s="441"/>
      <c r="F16" s="441"/>
      <c r="G16" s="441"/>
      <c r="H16" s="441"/>
      <c r="I16" s="441"/>
      <c r="J16" s="442"/>
      <c r="K16" s="72" t="s">
        <v>15</v>
      </c>
      <c r="L16" s="71" t="s">
        <v>16</v>
      </c>
      <c r="M16" s="73" t="s">
        <v>17</v>
      </c>
    </row>
    <row r="17" spans="2:13" ht="14.25" customHeight="1">
      <c r="B17" s="18"/>
      <c r="C17" s="232"/>
      <c r="D17" s="444" t="s">
        <v>126</v>
      </c>
      <c r="E17" s="444"/>
      <c r="F17" s="444"/>
      <c r="G17" s="444"/>
      <c r="H17" s="444"/>
      <c r="I17" s="444"/>
      <c r="J17" s="445"/>
      <c r="K17" s="10"/>
      <c r="L17" s="191"/>
      <c r="M17" s="13"/>
    </row>
    <row r="18" spans="2:13" ht="47.25" customHeight="1">
      <c r="B18" s="12"/>
      <c r="C18" s="19"/>
      <c r="D18" s="447"/>
      <c r="E18" s="447"/>
      <c r="F18" s="447"/>
      <c r="G18" s="447"/>
      <c r="H18" s="447"/>
      <c r="I18" s="447"/>
      <c r="J18" s="447"/>
      <c r="K18" s="20"/>
      <c r="L18" s="93"/>
      <c r="M18" s="11"/>
    </row>
    <row r="19" spans="2:13" ht="18">
      <c r="B19" s="12"/>
      <c r="C19" s="19"/>
      <c r="D19" s="164"/>
      <c r="E19" s="84"/>
      <c r="F19" s="84"/>
      <c r="G19" s="84"/>
      <c r="H19" s="84"/>
      <c r="I19" s="84"/>
      <c r="J19" s="84"/>
      <c r="K19" s="20"/>
      <c r="L19" s="93"/>
      <c r="M19" s="11"/>
    </row>
    <row r="20" spans="2:13" ht="106.5" customHeight="1">
      <c r="B20" s="12"/>
      <c r="C20" s="19"/>
      <c r="D20" s="455" t="s">
        <v>129</v>
      </c>
      <c r="E20" s="455"/>
      <c r="F20" s="455"/>
      <c r="G20" s="455"/>
      <c r="H20" s="455"/>
      <c r="I20" s="455"/>
      <c r="J20" s="456"/>
      <c r="K20" s="19"/>
      <c r="L20" s="16"/>
      <c r="M20" s="11"/>
    </row>
    <row r="21" spans="2:13" ht="20.25">
      <c r="B21" s="12"/>
      <c r="C21" s="19"/>
      <c r="D21" s="227"/>
      <c r="E21" s="74"/>
      <c r="F21" s="74"/>
      <c r="G21" s="74"/>
      <c r="H21" s="74"/>
      <c r="I21" s="74"/>
      <c r="J21" s="74"/>
      <c r="K21" s="19"/>
      <c r="L21" s="16"/>
      <c r="M21" s="11"/>
    </row>
    <row r="22" spans="2:13" ht="39" customHeight="1">
      <c r="B22" s="180" t="s">
        <v>218</v>
      </c>
      <c r="C22" s="19"/>
      <c r="D22" s="458" t="s">
        <v>130</v>
      </c>
      <c r="E22" s="458"/>
      <c r="F22" s="458"/>
      <c r="G22" s="458"/>
      <c r="H22" s="458"/>
      <c r="I22" s="458"/>
      <c r="J22" s="459"/>
      <c r="K22" s="19"/>
      <c r="L22" s="16"/>
      <c r="M22" s="130">
        <f>SUM(M25:M27)</f>
        <v>14400</v>
      </c>
    </row>
    <row r="23" spans="2:13" ht="21">
      <c r="B23" s="12"/>
      <c r="C23" s="8"/>
      <c r="D23" s="228" t="s">
        <v>201</v>
      </c>
      <c r="E23" s="89"/>
      <c r="F23" s="89"/>
      <c r="G23" s="89"/>
      <c r="H23" s="89"/>
      <c r="I23" s="89"/>
      <c r="J23" s="95"/>
      <c r="K23" s="8"/>
      <c r="L23" s="15"/>
      <c r="M23" s="11"/>
    </row>
    <row r="24" spans="2:13" ht="40.5">
      <c r="B24" s="12"/>
      <c r="C24" s="8"/>
      <c r="D24" s="145" t="s">
        <v>29</v>
      </c>
      <c r="E24" s="81" t="s">
        <v>34</v>
      </c>
      <c r="F24" s="81" t="s">
        <v>33</v>
      </c>
      <c r="G24" s="448" t="s">
        <v>30</v>
      </c>
      <c r="H24" s="448"/>
      <c r="I24" s="448"/>
      <c r="J24" s="81" t="s">
        <v>84</v>
      </c>
      <c r="K24" s="8"/>
      <c r="L24" s="15"/>
      <c r="M24" s="11"/>
    </row>
    <row r="25" spans="2:13" ht="44.25" customHeight="1">
      <c r="B25" s="12"/>
      <c r="C25" s="133" t="s">
        <v>35</v>
      </c>
      <c r="D25" s="229">
        <v>36</v>
      </c>
      <c r="E25" s="82" t="s">
        <v>74</v>
      </c>
      <c r="F25" s="82" t="s">
        <v>83</v>
      </c>
      <c r="G25" s="449" t="s">
        <v>64</v>
      </c>
      <c r="H25" s="449"/>
      <c r="I25" s="449"/>
      <c r="J25" s="460" t="s">
        <v>131</v>
      </c>
      <c r="K25" s="133">
        <f t="shared" ref="K25:K27" si="0">D25</f>
        <v>36</v>
      </c>
      <c r="L25" s="134">
        <v>100</v>
      </c>
      <c r="M25" s="127">
        <f>K25*L25</f>
        <v>3600</v>
      </c>
    </row>
    <row r="26" spans="2:13" ht="151.5" customHeight="1">
      <c r="B26" s="12"/>
      <c r="C26" s="133" t="s">
        <v>35</v>
      </c>
      <c r="D26" s="229">
        <v>36</v>
      </c>
      <c r="E26" s="82" t="s">
        <v>31</v>
      </c>
      <c r="F26" s="82" t="s">
        <v>83</v>
      </c>
      <c r="G26" s="453" t="s">
        <v>115</v>
      </c>
      <c r="H26" s="453"/>
      <c r="I26" s="453"/>
      <c r="J26" s="460"/>
      <c r="K26" s="133">
        <f t="shared" si="0"/>
        <v>36</v>
      </c>
      <c r="L26" s="134">
        <v>200</v>
      </c>
      <c r="M26" s="127">
        <f t="shared" ref="M26:M27" si="1">K26*L26</f>
        <v>7200</v>
      </c>
    </row>
    <row r="27" spans="2:13" ht="54" customHeight="1">
      <c r="B27" s="12"/>
      <c r="C27" s="133" t="s">
        <v>35</v>
      </c>
      <c r="D27" s="229">
        <v>36</v>
      </c>
      <c r="E27" s="82" t="s">
        <v>75</v>
      </c>
      <c r="F27" s="82" t="s">
        <v>83</v>
      </c>
      <c r="G27" s="449" t="s">
        <v>64</v>
      </c>
      <c r="H27" s="449"/>
      <c r="I27" s="449"/>
      <c r="J27" s="460"/>
      <c r="K27" s="133">
        <f t="shared" si="0"/>
        <v>36</v>
      </c>
      <c r="L27" s="134">
        <v>100</v>
      </c>
      <c r="M27" s="127">
        <f t="shared" si="1"/>
        <v>3600</v>
      </c>
    </row>
    <row r="28" spans="2:13" ht="27" customHeight="1">
      <c r="B28" s="12"/>
      <c r="C28" s="133"/>
      <c r="D28" s="159"/>
      <c r="E28" s="159"/>
      <c r="F28" s="159"/>
      <c r="G28" s="160"/>
      <c r="H28" s="160"/>
      <c r="I28" s="160"/>
      <c r="J28" s="161"/>
      <c r="K28" s="133"/>
      <c r="L28" s="134"/>
      <c r="M28" s="127"/>
    </row>
    <row r="29" spans="2:13" ht="32.25" customHeight="1">
      <c r="B29" s="180" t="s">
        <v>219</v>
      </c>
      <c r="C29" s="19"/>
      <c r="D29" s="458" t="s">
        <v>132</v>
      </c>
      <c r="E29" s="458"/>
      <c r="F29" s="458"/>
      <c r="G29" s="458"/>
      <c r="H29" s="458"/>
      <c r="I29" s="458"/>
      <c r="J29" s="459"/>
      <c r="K29" s="19"/>
      <c r="L29" s="16"/>
      <c r="M29" s="130">
        <f>SUM(M32:M34)</f>
        <v>14400</v>
      </c>
    </row>
    <row r="30" spans="2:13" ht="27.75" customHeight="1">
      <c r="B30" s="12"/>
      <c r="C30" s="8"/>
      <c r="D30" s="228" t="s">
        <v>201</v>
      </c>
      <c r="E30" s="89"/>
      <c r="F30" s="89"/>
      <c r="G30" s="89"/>
      <c r="H30" s="89"/>
      <c r="I30" s="89"/>
      <c r="J30" s="95"/>
      <c r="K30" s="8"/>
      <c r="L30" s="15"/>
      <c r="M30" s="11"/>
    </row>
    <row r="31" spans="2:13" ht="54" customHeight="1">
      <c r="B31" s="12"/>
      <c r="C31" s="8"/>
      <c r="D31" s="145" t="s">
        <v>29</v>
      </c>
      <c r="E31" s="81" t="s">
        <v>34</v>
      </c>
      <c r="F31" s="81" t="s">
        <v>33</v>
      </c>
      <c r="G31" s="448" t="s">
        <v>30</v>
      </c>
      <c r="H31" s="448"/>
      <c r="I31" s="448"/>
      <c r="J31" s="81" t="s">
        <v>84</v>
      </c>
      <c r="K31" s="8"/>
      <c r="L31" s="15"/>
      <c r="M31" s="11"/>
    </row>
    <row r="32" spans="2:13" ht="54" customHeight="1">
      <c r="B32" s="12"/>
      <c r="C32" s="133" t="s">
        <v>35</v>
      </c>
      <c r="D32" s="229">
        <v>36</v>
      </c>
      <c r="E32" s="82" t="s">
        <v>74</v>
      </c>
      <c r="F32" s="82" t="s">
        <v>83</v>
      </c>
      <c r="G32" s="449" t="s">
        <v>64</v>
      </c>
      <c r="H32" s="449"/>
      <c r="I32" s="449"/>
      <c r="J32" s="460" t="s">
        <v>131</v>
      </c>
      <c r="K32" s="133">
        <f t="shared" ref="K32:K34" si="2">D32</f>
        <v>36</v>
      </c>
      <c r="L32" s="134">
        <v>100</v>
      </c>
      <c r="M32" s="127">
        <f>K32*L32</f>
        <v>3600</v>
      </c>
    </row>
    <row r="33" spans="2:13" ht="149.25" customHeight="1">
      <c r="B33" s="12"/>
      <c r="C33" s="133" t="s">
        <v>35</v>
      </c>
      <c r="D33" s="229">
        <v>36</v>
      </c>
      <c r="E33" s="82" t="s">
        <v>31</v>
      </c>
      <c r="F33" s="82" t="s">
        <v>83</v>
      </c>
      <c r="G33" s="453" t="s">
        <v>115</v>
      </c>
      <c r="H33" s="453"/>
      <c r="I33" s="453"/>
      <c r="J33" s="460"/>
      <c r="K33" s="133">
        <f t="shared" si="2"/>
        <v>36</v>
      </c>
      <c r="L33" s="134">
        <v>200</v>
      </c>
      <c r="M33" s="127">
        <f t="shared" ref="M33:M34" si="3">K33*L33</f>
        <v>7200</v>
      </c>
    </row>
    <row r="34" spans="2:13" ht="54" customHeight="1">
      <c r="B34" s="12"/>
      <c r="C34" s="133" t="s">
        <v>35</v>
      </c>
      <c r="D34" s="229">
        <v>36</v>
      </c>
      <c r="E34" s="82" t="s">
        <v>75</v>
      </c>
      <c r="F34" s="82" t="s">
        <v>83</v>
      </c>
      <c r="G34" s="449" t="s">
        <v>64</v>
      </c>
      <c r="H34" s="449"/>
      <c r="I34" s="449"/>
      <c r="J34" s="460"/>
      <c r="K34" s="133">
        <f t="shared" si="2"/>
        <v>36</v>
      </c>
      <c r="L34" s="134">
        <v>100</v>
      </c>
      <c r="M34" s="127">
        <f t="shared" si="3"/>
        <v>3600</v>
      </c>
    </row>
    <row r="35" spans="2:13" ht="24.75" customHeight="1">
      <c r="B35" s="12"/>
      <c r="C35" s="133"/>
      <c r="D35" s="159"/>
      <c r="E35" s="159"/>
      <c r="F35" s="159"/>
      <c r="G35" s="160"/>
      <c r="H35" s="160"/>
      <c r="I35" s="160"/>
      <c r="J35" s="161"/>
      <c r="K35" s="133"/>
      <c r="L35" s="134"/>
      <c r="M35" s="127"/>
    </row>
    <row r="36" spans="2:13" ht="34.5" customHeight="1">
      <c r="B36" s="180" t="s">
        <v>226</v>
      </c>
      <c r="C36" s="19"/>
      <c r="D36" s="458" t="s">
        <v>133</v>
      </c>
      <c r="E36" s="458"/>
      <c r="F36" s="458"/>
      <c r="G36" s="458"/>
      <c r="H36" s="458"/>
      <c r="I36" s="458"/>
      <c r="J36" s="459"/>
      <c r="K36" s="19"/>
      <c r="L36" s="16"/>
      <c r="M36" s="130">
        <f>SUM(M39:M41)</f>
        <v>14400</v>
      </c>
    </row>
    <row r="37" spans="2:13" ht="31.5" customHeight="1">
      <c r="B37" s="12"/>
      <c r="C37" s="8"/>
      <c r="D37" s="228" t="s">
        <v>201</v>
      </c>
      <c r="E37" s="89"/>
      <c r="F37" s="89"/>
      <c r="G37" s="89"/>
      <c r="H37" s="89"/>
      <c r="I37" s="89"/>
      <c r="J37" s="95"/>
      <c r="K37" s="8"/>
      <c r="L37" s="15"/>
      <c r="M37" s="11"/>
    </row>
    <row r="38" spans="2:13" ht="54" customHeight="1">
      <c r="B38" s="12"/>
      <c r="C38" s="8"/>
      <c r="D38" s="145" t="s">
        <v>29</v>
      </c>
      <c r="E38" s="81" t="s">
        <v>34</v>
      </c>
      <c r="F38" s="81" t="s">
        <v>33</v>
      </c>
      <c r="G38" s="448" t="s">
        <v>30</v>
      </c>
      <c r="H38" s="448"/>
      <c r="I38" s="448"/>
      <c r="J38" s="81" t="s">
        <v>84</v>
      </c>
      <c r="K38" s="8"/>
      <c r="L38" s="15"/>
      <c r="M38" s="11"/>
    </row>
    <row r="39" spans="2:13" ht="54" customHeight="1">
      <c r="B39" s="12"/>
      <c r="C39" s="133" t="s">
        <v>35</v>
      </c>
      <c r="D39" s="229">
        <v>36</v>
      </c>
      <c r="E39" s="82" t="s">
        <v>74</v>
      </c>
      <c r="F39" s="82" t="s">
        <v>83</v>
      </c>
      <c r="G39" s="449" t="s">
        <v>64</v>
      </c>
      <c r="H39" s="449"/>
      <c r="I39" s="449"/>
      <c r="J39" s="460" t="s">
        <v>131</v>
      </c>
      <c r="K39" s="133">
        <f t="shared" ref="K39:K41" si="4">D39</f>
        <v>36</v>
      </c>
      <c r="L39" s="134">
        <v>100</v>
      </c>
      <c r="M39" s="127">
        <f>K39*L39</f>
        <v>3600</v>
      </c>
    </row>
    <row r="40" spans="2:13" ht="148.5" customHeight="1">
      <c r="B40" s="12"/>
      <c r="C40" s="133" t="s">
        <v>35</v>
      </c>
      <c r="D40" s="229">
        <v>36</v>
      </c>
      <c r="E40" s="82" t="s">
        <v>31</v>
      </c>
      <c r="F40" s="82" t="s">
        <v>83</v>
      </c>
      <c r="G40" s="453" t="s">
        <v>115</v>
      </c>
      <c r="H40" s="453"/>
      <c r="I40" s="453"/>
      <c r="J40" s="460"/>
      <c r="K40" s="133">
        <f t="shared" si="4"/>
        <v>36</v>
      </c>
      <c r="L40" s="134">
        <v>200</v>
      </c>
      <c r="M40" s="127">
        <f t="shared" ref="M40:M41" si="5">K40*L40</f>
        <v>7200</v>
      </c>
    </row>
    <row r="41" spans="2:13" ht="49.5" customHeight="1">
      <c r="B41" s="12"/>
      <c r="C41" s="133" t="s">
        <v>35</v>
      </c>
      <c r="D41" s="229">
        <v>36</v>
      </c>
      <c r="E41" s="82" t="s">
        <v>75</v>
      </c>
      <c r="F41" s="82" t="s">
        <v>83</v>
      </c>
      <c r="G41" s="449" t="s">
        <v>64</v>
      </c>
      <c r="H41" s="449"/>
      <c r="I41" s="449"/>
      <c r="J41" s="460"/>
      <c r="K41" s="133">
        <f t="shared" si="4"/>
        <v>36</v>
      </c>
      <c r="L41" s="134">
        <v>100</v>
      </c>
      <c r="M41" s="127">
        <f t="shared" si="5"/>
        <v>3600</v>
      </c>
    </row>
    <row r="42" spans="2:13" ht="27" customHeight="1">
      <c r="B42" s="12"/>
      <c r="C42" s="133"/>
      <c r="D42" s="159"/>
      <c r="E42" s="159"/>
      <c r="F42" s="159"/>
      <c r="G42" s="160"/>
      <c r="H42" s="160"/>
      <c r="I42" s="160"/>
      <c r="J42" s="161"/>
      <c r="K42" s="133"/>
      <c r="L42" s="134"/>
      <c r="M42" s="127"/>
    </row>
    <row r="43" spans="2:13" ht="39" customHeight="1">
      <c r="B43" s="180" t="s">
        <v>225</v>
      </c>
      <c r="C43" s="19"/>
      <c r="D43" s="458" t="s">
        <v>134</v>
      </c>
      <c r="E43" s="458"/>
      <c r="F43" s="458"/>
      <c r="G43" s="458"/>
      <c r="H43" s="458"/>
      <c r="I43" s="458"/>
      <c r="J43" s="459"/>
      <c r="K43" s="19"/>
      <c r="L43" s="16"/>
      <c r="M43" s="130">
        <f>SUM(M46:M48)</f>
        <v>14400</v>
      </c>
    </row>
    <row r="44" spans="2:13" ht="31.5" customHeight="1">
      <c r="B44" s="12"/>
      <c r="C44" s="8"/>
      <c r="D44" s="228" t="s">
        <v>201</v>
      </c>
      <c r="E44" s="89"/>
      <c r="F44" s="89"/>
      <c r="G44" s="89"/>
      <c r="H44" s="89"/>
      <c r="I44" s="89"/>
      <c r="J44" s="95"/>
      <c r="K44" s="8"/>
      <c r="L44" s="15"/>
      <c r="M44" s="11"/>
    </row>
    <row r="45" spans="2:13" ht="54" customHeight="1">
      <c r="B45" s="12"/>
      <c r="C45" s="8"/>
      <c r="D45" s="145" t="s">
        <v>29</v>
      </c>
      <c r="E45" s="81" t="s">
        <v>34</v>
      </c>
      <c r="F45" s="81" t="s">
        <v>33</v>
      </c>
      <c r="G45" s="448" t="s">
        <v>30</v>
      </c>
      <c r="H45" s="448"/>
      <c r="I45" s="448"/>
      <c r="J45" s="81" t="s">
        <v>84</v>
      </c>
      <c r="K45" s="8"/>
      <c r="L45" s="15"/>
      <c r="M45" s="11"/>
    </row>
    <row r="46" spans="2:13" ht="54" customHeight="1">
      <c r="B46" s="12"/>
      <c r="C46" s="133" t="s">
        <v>35</v>
      </c>
      <c r="D46" s="229">
        <v>36</v>
      </c>
      <c r="E46" s="82" t="s">
        <v>74</v>
      </c>
      <c r="F46" s="82" t="s">
        <v>83</v>
      </c>
      <c r="G46" s="449" t="s">
        <v>64</v>
      </c>
      <c r="H46" s="449"/>
      <c r="I46" s="449"/>
      <c r="J46" s="460" t="s">
        <v>131</v>
      </c>
      <c r="K46" s="133">
        <f t="shared" ref="K46:K48" si="6">D46</f>
        <v>36</v>
      </c>
      <c r="L46" s="134">
        <v>100</v>
      </c>
      <c r="M46" s="127">
        <f>K46*L46</f>
        <v>3600</v>
      </c>
    </row>
    <row r="47" spans="2:13" ht="149.25" customHeight="1">
      <c r="B47" s="12"/>
      <c r="C47" s="133" t="s">
        <v>35</v>
      </c>
      <c r="D47" s="229">
        <v>36</v>
      </c>
      <c r="E47" s="82" t="s">
        <v>31</v>
      </c>
      <c r="F47" s="82" t="s">
        <v>83</v>
      </c>
      <c r="G47" s="453" t="s">
        <v>115</v>
      </c>
      <c r="H47" s="453"/>
      <c r="I47" s="453"/>
      <c r="J47" s="460"/>
      <c r="K47" s="133">
        <f t="shared" si="6"/>
        <v>36</v>
      </c>
      <c r="L47" s="134">
        <v>200</v>
      </c>
      <c r="M47" s="127">
        <f t="shared" ref="M47:M48" si="7">K47*L47</f>
        <v>7200</v>
      </c>
    </row>
    <row r="48" spans="2:13" ht="54" customHeight="1">
      <c r="B48" s="12"/>
      <c r="C48" s="133" t="s">
        <v>35</v>
      </c>
      <c r="D48" s="229">
        <v>36</v>
      </c>
      <c r="E48" s="82" t="s">
        <v>75</v>
      </c>
      <c r="F48" s="82" t="s">
        <v>83</v>
      </c>
      <c r="G48" s="449" t="s">
        <v>64</v>
      </c>
      <c r="H48" s="449"/>
      <c r="I48" s="449"/>
      <c r="J48" s="460"/>
      <c r="K48" s="133">
        <f t="shared" si="6"/>
        <v>36</v>
      </c>
      <c r="L48" s="134">
        <v>100</v>
      </c>
      <c r="M48" s="127">
        <f t="shared" si="7"/>
        <v>3600</v>
      </c>
    </row>
    <row r="49" spans="2:13" ht="29.25" customHeight="1">
      <c r="B49" s="12"/>
      <c r="C49" s="133"/>
      <c r="D49" s="159"/>
      <c r="E49" s="159"/>
      <c r="F49" s="159"/>
      <c r="G49" s="160"/>
      <c r="H49" s="160"/>
      <c r="I49" s="160"/>
      <c r="J49" s="161"/>
      <c r="K49" s="133"/>
      <c r="L49" s="134"/>
      <c r="M49" s="127"/>
    </row>
    <row r="50" spans="2:13" ht="20.25">
      <c r="B50" s="3"/>
      <c r="C50" s="8"/>
      <c r="D50" s="230" t="s">
        <v>82</v>
      </c>
      <c r="E50" s="74"/>
      <c r="F50" s="74"/>
      <c r="G50" s="74"/>
      <c r="H50" s="74"/>
      <c r="I50" s="74"/>
      <c r="J50" s="74"/>
      <c r="K50" s="8"/>
      <c r="L50" s="15"/>
      <c r="M50" s="11"/>
    </row>
    <row r="51" spans="2:13" ht="18" customHeight="1">
      <c r="B51" s="3"/>
      <c r="C51" s="224"/>
      <c r="D51" s="231" t="s">
        <v>88</v>
      </c>
      <c r="E51" s="75"/>
      <c r="F51" s="76"/>
      <c r="G51" s="75"/>
      <c r="H51" s="75"/>
      <c r="I51" s="76"/>
      <c r="J51" s="75"/>
      <c r="K51" s="92"/>
      <c r="L51" s="94"/>
      <c r="M51" s="79"/>
    </row>
    <row r="52" spans="2:13" ht="20.25">
      <c r="B52" s="3"/>
      <c r="C52" s="224"/>
      <c r="D52" s="231" t="s">
        <v>89</v>
      </c>
      <c r="E52" s="75"/>
      <c r="F52" s="76"/>
      <c r="G52" s="75"/>
      <c r="H52" s="75"/>
      <c r="I52" s="76"/>
      <c r="J52" s="75"/>
      <c r="K52" s="92"/>
      <c r="L52" s="94"/>
      <c r="M52" s="79"/>
    </row>
    <row r="53" spans="2:13" ht="45" customHeight="1">
      <c r="B53" s="3"/>
      <c r="C53" s="8"/>
      <c r="D53" s="470" t="s">
        <v>90</v>
      </c>
      <c r="E53" s="470"/>
      <c r="F53" s="470"/>
      <c r="G53" s="470"/>
      <c r="H53" s="470"/>
      <c r="I53" s="470"/>
      <c r="J53" s="471"/>
      <c r="K53" s="8"/>
      <c r="L53" s="15"/>
      <c r="M53" s="11"/>
    </row>
    <row r="54" spans="2:13" ht="20.25" customHeight="1">
      <c r="B54" s="140"/>
      <c r="C54" s="8"/>
      <c r="D54" s="132"/>
      <c r="E54" s="132"/>
      <c r="F54" s="132"/>
      <c r="G54" s="132"/>
      <c r="H54" s="132"/>
      <c r="I54" s="132"/>
      <c r="J54" s="138"/>
      <c r="K54" s="8"/>
      <c r="L54" s="15"/>
      <c r="M54" s="11"/>
    </row>
    <row r="55" spans="2:13" ht="27.75" customHeight="1">
      <c r="B55" s="140"/>
      <c r="C55" s="8"/>
      <c r="D55" s="362" t="s">
        <v>39</v>
      </c>
      <c r="E55" s="362"/>
      <c r="F55" s="362"/>
      <c r="G55" s="362"/>
      <c r="H55" s="362"/>
      <c r="I55" s="362"/>
      <c r="J55" s="382"/>
      <c r="K55" s="8"/>
      <c r="L55" s="15"/>
      <c r="M55" s="11"/>
    </row>
    <row r="56" spans="2:13" ht="27.75" customHeight="1">
      <c r="B56" s="140"/>
      <c r="C56" s="8"/>
      <c r="D56" s="383" t="s">
        <v>94</v>
      </c>
      <c r="E56" s="383"/>
      <c r="F56" s="383"/>
      <c r="G56" s="383"/>
      <c r="H56" s="383"/>
      <c r="I56" s="383"/>
      <c r="J56" s="384"/>
      <c r="K56" s="8"/>
      <c r="L56" s="15"/>
      <c r="M56" s="11"/>
    </row>
    <row r="57" spans="2:13" ht="27.75" customHeight="1">
      <c r="B57" s="140"/>
      <c r="C57" s="8"/>
      <c r="D57" s="148"/>
      <c r="E57" s="148"/>
      <c r="F57" s="148"/>
      <c r="G57" s="148"/>
      <c r="H57" s="148"/>
      <c r="I57" s="148"/>
      <c r="J57" s="149"/>
      <c r="K57" s="8"/>
      <c r="L57" s="15"/>
      <c r="M57" s="11"/>
    </row>
    <row r="58" spans="2:13" ht="27.75" customHeight="1">
      <c r="B58" s="140"/>
      <c r="C58" s="8"/>
      <c r="D58" s="362" t="s">
        <v>207</v>
      </c>
      <c r="E58" s="362"/>
      <c r="F58" s="150"/>
      <c r="G58" s="150"/>
      <c r="H58" s="150"/>
      <c r="I58" s="150"/>
      <c r="J58" s="151"/>
      <c r="K58" s="8"/>
      <c r="L58" s="15"/>
      <c r="M58" s="11"/>
    </row>
    <row r="59" spans="2:13" ht="27.75" customHeight="1">
      <c r="B59" s="140"/>
      <c r="C59" s="8"/>
      <c r="D59" s="385" t="s">
        <v>205</v>
      </c>
      <c r="E59" s="385"/>
      <c r="F59" s="385"/>
      <c r="G59" s="148"/>
      <c r="H59" s="148"/>
      <c r="I59" s="148"/>
      <c r="J59" s="149"/>
      <c r="K59" s="8"/>
      <c r="L59" s="15"/>
      <c r="M59" s="11"/>
    </row>
    <row r="60" spans="2:13" ht="27.75" customHeight="1">
      <c r="B60" s="140"/>
      <c r="C60" s="8"/>
      <c r="D60" s="356" t="s">
        <v>227</v>
      </c>
      <c r="E60" s="357"/>
      <c r="F60" s="357"/>
      <c r="G60" s="357"/>
      <c r="H60" s="357"/>
      <c r="I60" s="357"/>
      <c r="J60" s="358"/>
      <c r="K60" s="192"/>
      <c r="L60" s="15"/>
      <c r="M60" s="11"/>
    </row>
    <row r="61" spans="2:13" ht="33" customHeight="1">
      <c r="B61" s="49"/>
      <c r="C61" s="233"/>
      <c r="D61" s="66"/>
      <c r="E61" s="66"/>
      <c r="F61" s="66"/>
      <c r="G61" s="66"/>
      <c r="H61" s="66"/>
      <c r="I61" s="66"/>
      <c r="J61" s="67"/>
      <c r="K61" s="461" t="s">
        <v>20</v>
      </c>
      <c r="L61" s="462"/>
      <c r="M61" s="139">
        <f>SUM(M43,M36,M29,M22)</f>
        <v>57600</v>
      </c>
    </row>
    <row r="62" spans="2:13" ht="29.25" customHeight="1">
      <c r="B62" s="402" t="s">
        <v>184</v>
      </c>
      <c r="C62" s="403"/>
      <c r="D62" s="403"/>
      <c r="E62" s="403"/>
      <c r="F62" s="403"/>
      <c r="G62" s="403"/>
      <c r="H62" s="403"/>
      <c r="I62" s="403"/>
      <c r="J62" s="403"/>
      <c r="K62" s="403"/>
      <c r="L62" s="403"/>
      <c r="M62" s="404"/>
    </row>
    <row r="63" spans="2:13" ht="15">
      <c r="B63" s="466" t="s">
        <v>185</v>
      </c>
      <c r="C63" s="467"/>
      <c r="D63" s="467"/>
      <c r="E63" s="467"/>
      <c r="F63" s="467"/>
      <c r="G63" s="467"/>
      <c r="H63" s="467"/>
      <c r="I63" s="467"/>
      <c r="J63" s="467"/>
      <c r="K63" s="467"/>
      <c r="L63" s="467"/>
      <c r="M63" s="468"/>
    </row>
    <row r="64" spans="2:13" ht="15">
      <c r="B64" s="49"/>
      <c r="C64" s="21"/>
      <c r="D64" s="21"/>
      <c r="E64" s="21"/>
      <c r="F64" s="21"/>
      <c r="G64" s="21"/>
      <c r="H64" s="21"/>
      <c r="I64" s="21"/>
      <c r="J64" s="21"/>
      <c r="K64" s="21"/>
      <c r="L64" s="21"/>
      <c r="M64" s="50"/>
    </row>
    <row r="65" spans="2:13" ht="15">
      <c r="B65" s="49"/>
      <c r="C65" s="21"/>
      <c r="D65" s="21"/>
      <c r="E65" s="21"/>
      <c r="F65" s="21"/>
      <c r="G65" s="21"/>
      <c r="H65" s="21"/>
      <c r="I65" s="21"/>
      <c r="J65" s="21" t="s">
        <v>23</v>
      </c>
      <c r="K65" s="21"/>
      <c r="L65" s="21"/>
      <c r="M65" s="50"/>
    </row>
    <row r="66" spans="2:13" ht="15">
      <c r="B66" s="49"/>
      <c r="C66" s="21"/>
      <c r="D66" s="21"/>
      <c r="E66" s="21"/>
      <c r="F66" s="21"/>
      <c r="G66" s="21"/>
      <c r="H66" s="21"/>
      <c r="I66" s="21"/>
      <c r="J66" s="21"/>
      <c r="K66" s="21"/>
      <c r="L66" s="21"/>
      <c r="M66" s="50"/>
    </row>
    <row r="67" spans="2:13" ht="49.5" customHeight="1">
      <c r="B67" s="125" t="s">
        <v>22</v>
      </c>
      <c r="C67" s="21"/>
      <c r="D67" s="21"/>
      <c r="E67" s="21"/>
      <c r="F67" s="21"/>
      <c r="G67" s="21"/>
      <c r="H67" s="21"/>
      <c r="I67" s="21"/>
      <c r="J67" s="21"/>
      <c r="K67" s="21"/>
      <c r="L67" s="21"/>
      <c r="M67" s="50"/>
    </row>
    <row r="68" spans="2:13" ht="18.75" thickBot="1">
      <c r="B68" s="49"/>
      <c r="C68" s="53"/>
      <c r="D68" s="53"/>
      <c r="E68" s="53"/>
      <c r="F68" s="21"/>
      <c r="G68" s="21"/>
      <c r="H68" s="21"/>
      <c r="I68" s="54"/>
      <c r="J68" s="102" t="s">
        <v>216</v>
      </c>
      <c r="K68" s="54"/>
      <c r="L68" s="54"/>
      <c r="M68" s="50"/>
    </row>
    <row r="69" spans="2:13" ht="18">
      <c r="B69" s="49"/>
      <c r="C69" s="463" t="s">
        <v>21</v>
      </c>
      <c r="D69" s="463"/>
      <c r="E69" s="463"/>
      <c r="F69" s="55"/>
      <c r="G69" s="55"/>
      <c r="H69" s="21"/>
      <c r="I69" s="56"/>
      <c r="J69" s="103" t="s">
        <v>91</v>
      </c>
      <c r="K69" s="56"/>
      <c r="L69" s="56"/>
      <c r="M69" s="50"/>
    </row>
    <row r="70" spans="2:13" ht="18">
      <c r="B70" s="49"/>
      <c r="C70" s="55"/>
      <c r="D70" s="55"/>
      <c r="E70" s="55"/>
      <c r="F70" s="55" t="s">
        <v>66</v>
      </c>
      <c r="G70" s="55"/>
      <c r="H70" s="21"/>
      <c r="I70" s="56"/>
      <c r="J70" s="103"/>
      <c r="K70" s="56"/>
      <c r="L70" s="56"/>
      <c r="M70" s="50"/>
    </row>
    <row r="71" spans="2:13" ht="15.75" thickBot="1">
      <c r="B71" s="49"/>
      <c r="C71" s="53"/>
      <c r="D71" s="53"/>
      <c r="E71" s="53"/>
      <c r="F71" s="21"/>
      <c r="G71" s="21"/>
      <c r="H71" s="21"/>
      <c r="I71" s="21"/>
      <c r="J71" s="21"/>
      <c r="K71" s="21"/>
      <c r="L71" s="21"/>
      <c r="M71" s="50"/>
    </row>
    <row r="72" spans="2:13" ht="15">
      <c r="B72" s="57"/>
      <c r="C72" s="464" t="s">
        <v>1</v>
      </c>
      <c r="D72" s="464"/>
      <c r="E72" s="464"/>
      <c r="F72" s="58"/>
      <c r="G72" s="58"/>
      <c r="H72" s="59"/>
      <c r="I72" s="59"/>
      <c r="J72" s="59"/>
      <c r="K72" s="59"/>
      <c r="L72" s="59"/>
      <c r="M72" s="50"/>
    </row>
    <row r="73" spans="2:13" ht="18.75" thickBot="1">
      <c r="B73" s="97" t="s">
        <v>24</v>
      </c>
      <c r="C73" s="98"/>
      <c r="D73" s="98"/>
      <c r="E73" s="98"/>
      <c r="F73" s="98"/>
      <c r="G73" s="98"/>
      <c r="H73" s="98"/>
      <c r="I73" s="98" t="s">
        <v>25</v>
      </c>
      <c r="J73" s="53"/>
      <c r="K73" s="53"/>
      <c r="L73" s="53"/>
      <c r="M73" s="60"/>
    </row>
    <row r="74" spans="2:13" ht="18.75" thickBot="1">
      <c r="B74" s="97"/>
      <c r="C74" s="98"/>
      <c r="D74" s="98"/>
      <c r="E74" s="98"/>
      <c r="F74" s="98"/>
      <c r="G74" s="98"/>
      <c r="H74" s="98"/>
      <c r="I74" s="98"/>
      <c r="J74" s="53"/>
      <c r="K74" s="53"/>
      <c r="L74" s="53"/>
      <c r="M74" s="61"/>
    </row>
    <row r="75" spans="2:13" ht="18.75" thickBot="1">
      <c r="B75" s="99"/>
      <c r="C75" s="465" t="s">
        <v>73</v>
      </c>
      <c r="D75" s="465"/>
      <c r="E75" s="465"/>
      <c r="F75" s="100"/>
      <c r="G75" s="100"/>
      <c r="H75" s="98"/>
      <c r="I75" s="98" t="s">
        <v>26</v>
      </c>
      <c r="J75" s="53"/>
      <c r="K75" s="53"/>
      <c r="L75" s="53"/>
      <c r="M75" s="61"/>
    </row>
    <row r="76" spans="2:13" ht="18.75" thickBot="1">
      <c r="B76" s="476" t="s">
        <v>206</v>
      </c>
      <c r="C76" s="477"/>
      <c r="D76" s="477"/>
      <c r="E76" s="477"/>
      <c r="F76" s="477"/>
      <c r="G76" s="477"/>
      <c r="H76" s="101"/>
      <c r="I76" s="101"/>
      <c r="J76" s="53"/>
      <c r="K76" s="53"/>
      <c r="L76" s="53"/>
      <c r="M76" s="61"/>
    </row>
  </sheetData>
  <mergeCells count="64">
    <mergeCell ref="C75:E75"/>
    <mergeCell ref="D43:J43"/>
    <mergeCell ref="G45:I45"/>
    <mergeCell ref="G46:I46"/>
    <mergeCell ref="J46:J48"/>
    <mergeCell ref="G47:I47"/>
    <mergeCell ref="G48:I48"/>
    <mergeCell ref="D55:J55"/>
    <mergeCell ref="D56:J56"/>
    <mergeCell ref="B63:M63"/>
    <mergeCell ref="D53:J53"/>
    <mergeCell ref="K61:L61"/>
    <mergeCell ref="B62:M62"/>
    <mergeCell ref="C69:E69"/>
    <mergeCell ref="C72:E72"/>
    <mergeCell ref="D36:J36"/>
    <mergeCell ref="G38:I38"/>
    <mergeCell ref="G39:I39"/>
    <mergeCell ref="J39:J41"/>
    <mergeCell ref="G40:I40"/>
    <mergeCell ref="G41:I41"/>
    <mergeCell ref="D22:J22"/>
    <mergeCell ref="G24:I24"/>
    <mergeCell ref="D29:J29"/>
    <mergeCell ref="G31:I31"/>
    <mergeCell ref="G32:I32"/>
    <mergeCell ref="J32:J34"/>
    <mergeCell ref="G33:I33"/>
    <mergeCell ref="G34:I34"/>
    <mergeCell ref="I15:J15"/>
    <mergeCell ref="K15:M15"/>
    <mergeCell ref="D16:J16"/>
    <mergeCell ref="D17:J18"/>
    <mergeCell ref="D20:J20"/>
    <mergeCell ref="J5:K5"/>
    <mergeCell ref="L5:M5"/>
    <mergeCell ref="C6:I6"/>
    <mergeCell ref="B7:B8"/>
    <mergeCell ref="C7:I8"/>
    <mergeCell ref="B2:B5"/>
    <mergeCell ref="C4:I5"/>
    <mergeCell ref="C2:I3"/>
    <mergeCell ref="J2:K4"/>
    <mergeCell ref="L2:M4"/>
    <mergeCell ref="J6:K7"/>
    <mergeCell ref="L6:M7"/>
    <mergeCell ref="J8:K10"/>
    <mergeCell ref="L8:M10"/>
    <mergeCell ref="B76:G76"/>
    <mergeCell ref="D59:F59"/>
    <mergeCell ref="D58:E58"/>
    <mergeCell ref="D60:J60"/>
    <mergeCell ref="B9:B10"/>
    <mergeCell ref="C9:I10"/>
    <mergeCell ref="B12:M12"/>
    <mergeCell ref="G25:I25"/>
    <mergeCell ref="J25:J27"/>
    <mergeCell ref="G26:I26"/>
    <mergeCell ref="G27:I27"/>
    <mergeCell ref="B13:M13"/>
    <mergeCell ref="B14:B15"/>
    <mergeCell ref="C14:H15"/>
    <mergeCell ref="I14:J14"/>
    <mergeCell ref="K14:M14"/>
  </mergeCells>
  <printOptions horizontalCentered="1"/>
  <pageMargins left="0.2" right="0.2" top="0.25" bottom="0.25" header="0.3" footer="0.3"/>
  <pageSetup paperSize="9" scale="4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35BB-4FFC-4645-BD0C-9B3B05BE5E6B}">
  <sheetPr codeName="Sheet3">
    <tabColor rgb="FFC00000"/>
    <pageSetUpPr fitToPage="1"/>
  </sheetPr>
  <dimension ref="B1:M54"/>
  <sheetViews>
    <sheetView view="pageBreakPreview" topLeftCell="A21" zoomScale="78" zoomScaleNormal="100" zoomScaleSheetLayoutView="78" workbookViewId="0">
      <selection activeCell="E41" sqref="E41"/>
    </sheetView>
  </sheetViews>
  <sheetFormatPr defaultColWidth="9.140625" defaultRowHeight="14.25"/>
  <cols>
    <col min="1" max="1" width="15.42578125" style="1" customWidth="1"/>
    <col min="2" max="2" width="23" style="2" customWidth="1"/>
    <col min="3" max="3" width="9.5703125" style="1" customWidth="1"/>
    <col min="4" max="4" width="21" style="1" customWidth="1"/>
    <col min="5" max="5" width="21.140625" style="1" customWidth="1"/>
    <col min="6" max="6" width="24.7109375" style="1" customWidth="1"/>
    <col min="7" max="7" width="12.28515625" style="1" customWidth="1"/>
    <col min="8" max="8" width="4.85546875" style="1" customWidth="1"/>
    <col min="9" max="9" width="4.7109375" style="1" customWidth="1"/>
    <col min="10" max="10" width="19.28515625" style="1" customWidth="1"/>
    <col min="11" max="11" width="14" style="1" customWidth="1"/>
    <col min="12" max="12" width="13.42578125" style="1" customWidth="1"/>
    <col min="13" max="13" width="20.5703125" style="1" customWidth="1"/>
    <col min="14" max="16384" width="9.140625" style="1"/>
  </cols>
  <sheetData>
    <row r="1" spans="2:13" ht="15.75" thickBot="1">
      <c r="B1" s="21"/>
      <c r="C1" s="21"/>
      <c r="D1" s="21"/>
      <c r="E1" s="21"/>
      <c r="F1" s="21"/>
      <c r="G1" s="21"/>
      <c r="H1" s="21"/>
      <c r="I1" s="21"/>
      <c r="J1" s="21"/>
      <c r="K1" s="21"/>
      <c r="L1" s="21"/>
      <c r="M1" s="21"/>
    </row>
    <row r="2" spans="2:13" ht="14.25" customHeight="1">
      <c r="B2" s="507"/>
      <c r="C2" s="412" t="s">
        <v>0</v>
      </c>
      <c r="D2" s="413"/>
      <c r="E2" s="413"/>
      <c r="F2" s="413"/>
      <c r="G2" s="413"/>
      <c r="H2" s="413"/>
      <c r="I2" s="414"/>
      <c r="J2" s="316" t="s">
        <v>181</v>
      </c>
      <c r="K2" s="317"/>
      <c r="L2" s="322" t="s">
        <v>135</v>
      </c>
      <c r="M2" s="323"/>
    </row>
    <row r="3" spans="2:13" ht="14.25" customHeight="1">
      <c r="B3" s="508"/>
      <c r="C3" s="415"/>
      <c r="D3" s="416"/>
      <c r="E3" s="416"/>
      <c r="F3" s="416"/>
      <c r="G3" s="416"/>
      <c r="H3" s="416"/>
      <c r="I3" s="417"/>
      <c r="J3" s="318"/>
      <c r="K3" s="319"/>
      <c r="L3" s="324"/>
      <c r="M3" s="325"/>
    </row>
    <row r="4" spans="2:13" ht="24" customHeight="1">
      <c r="B4" s="508"/>
      <c r="C4" s="510" t="s">
        <v>27</v>
      </c>
      <c r="D4" s="511"/>
      <c r="E4" s="511"/>
      <c r="F4" s="511"/>
      <c r="G4" s="511"/>
      <c r="H4" s="511"/>
      <c r="I4" s="512"/>
      <c r="J4" s="320"/>
      <c r="K4" s="321"/>
      <c r="L4" s="326"/>
      <c r="M4" s="327"/>
    </row>
    <row r="5" spans="2:13" ht="24.75" customHeight="1">
      <c r="B5" s="509"/>
      <c r="C5" s="513"/>
      <c r="D5" s="514"/>
      <c r="E5" s="514"/>
      <c r="F5" s="514"/>
      <c r="G5" s="514"/>
      <c r="H5" s="514"/>
      <c r="I5" s="515"/>
      <c r="J5" s="334" t="s">
        <v>1</v>
      </c>
      <c r="K5" s="335"/>
      <c r="L5" s="336" t="s">
        <v>182</v>
      </c>
      <c r="M5" s="337"/>
    </row>
    <row r="6" spans="2:13" ht="24" customHeight="1">
      <c r="B6" s="126" t="s">
        <v>3</v>
      </c>
      <c r="C6" s="518" t="s">
        <v>189</v>
      </c>
      <c r="D6" s="519"/>
      <c r="E6" s="519"/>
      <c r="F6" s="519"/>
      <c r="G6" s="519"/>
      <c r="H6" s="519"/>
      <c r="I6" s="520"/>
      <c r="J6" s="276" t="s">
        <v>4</v>
      </c>
      <c r="K6" s="277"/>
      <c r="L6" s="280" t="s">
        <v>43</v>
      </c>
      <c r="M6" s="281"/>
    </row>
    <row r="7" spans="2:13" ht="14.25" customHeight="1">
      <c r="B7" s="411" t="s">
        <v>2</v>
      </c>
      <c r="C7" s="286" t="s">
        <v>191</v>
      </c>
      <c r="D7" s="286"/>
      <c r="E7" s="286"/>
      <c r="F7" s="286"/>
      <c r="G7" s="286"/>
      <c r="H7" s="286"/>
      <c r="I7" s="286"/>
      <c r="J7" s="278"/>
      <c r="K7" s="279"/>
      <c r="L7" s="282"/>
      <c r="M7" s="283"/>
    </row>
    <row r="8" spans="2:13" ht="23.25" customHeight="1">
      <c r="B8" s="411"/>
      <c r="C8" s="286"/>
      <c r="D8" s="286"/>
      <c r="E8" s="286"/>
      <c r="F8" s="286"/>
      <c r="G8" s="286"/>
      <c r="H8" s="286"/>
      <c r="I8" s="286"/>
      <c r="J8" s="276" t="s">
        <v>5</v>
      </c>
      <c r="K8" s="277"/>
      <c r="L8" s="291" t="s">
        <v>190</v>
      </c>
      <c r="M8" s="292"/>
    </row>
    <row r="9" spans="2:13" ht="15" customHeight="1">
      <c r="B9" s="297" t="s">
        <v>80</v>
      </c>
      <c r="C9" s="299">
        <v>9165037298</v>
      </c>
      <c r="D9" s="300"/>
      <c r="E9" s="300"/>
      <c r="F9" s="300"/>
      <c r="G9" s="300"/>
      <c r="H9" s="300"/>
      <c r="I9" s="301"/>
      <c r="J9" s="287"/>
      <c r="K9" s="288"/>
      <c r="L9" s="293"/>
      <c r="M9" s="294"/>
    </row>
    <row r="10" spans="2:13" ht="26.25" customHeight="1" thickBot="1">
      <c r="B10" s="298"/>
      <c r="C10" s="302"/>
      <c r="D10" s="303"/>
      <c r="E10" s="303"/>
      <c r="F10" s="303"/>
      <c r="G10" s="303"/>
      <c r="H10" s="303"/>
      <c r="I10" s="304"/>
      <c r="J10" s="289"/>
      <c r="K10" s="290"/>
      <c r="L10" s="295"/>
      <c r="M10" s="296"/>
    </row>
    <row r="11" spans="2:13" ht="3.75" customHeight="1" thickBot="1">
      <c r="B11" s="24"/>
      <c r="C11" s="25"/>
      <c r="D11" s="25"/>
      <c r="E11" s="25"/>
      <c r="F11" s="25"/>
      <c r="G11" s="25"/>
      <c r="H11" s="25"/>
      <c r="I11" s="25"/>
      <c r="J11" s="25"/>
      <c r="K11" s="25"/>
      <c r="L11" s="26"/>
      <c r="M11" s="27"/>
    </row>
    <row r="12" spans="2:13" ht="15">
      <c r="B12" s="493" t="s">
        <v>36</v>
      </c>
      <c r="C12" s="494"/>
      <c r="D12" s="494"/>
      <c r="E12" s="494"/>
      <c r="F12" s="494"/>
      <c r="G12" s="494"/>
      <c r="H12" s="494"/>
      <c r="I12" s="494"/>
      <c r="J12" s="494"/>
      <c r="K12" s="494"/>
      <c r="L12" s="494"/>
      <c r="M12" s="495"/>
    </row>
    <row r="13" spans="2:13" ht="15.75">
      <c r="B13" s="341" t="s">
        <v>8</v>
      </c>
      <c r="C13" s="342"/>
      <c r="D13" s="342"/>
      <c r="E13" s="342"/>
      <c r="F13" s="342"/>
      <c r="G13" s="342"/>
      <c r="H13" s="342"/>
      <c r="I13" s="342"/>
      <c r="J13" s="342"/>
      <c r="K13" s="342"/>
      <c r="L13" s="342"/>
      <c r="M13" s="343"/>
    </row>
    <row r="14" spans="2:13" ht="69" customHeight="1">
      <c r="B14" s="430" t="s">
        <v>9</v>
      </c>
      <c r="C14" s="496" t="s">
        <v>71</v>
      </c>
      <c r="D14" s="346"/>
      <c r="E14" s="346"/>
      <c r="F14" s="346"/>
      <c r="G14" s="346"/>
      <c r="H14" s="347"/>
      <c r="I14" s="432" t="s">
        <v>10</v>
      </c>
      <c r="J14" s="433"/>
      <c r="K14" s="497" t="s">
        <v>137</v>
      </c>
      <c r="L14" s="498"/>
      <c r="M14" s="499"/>
    </row>
    <row r="15" spans="2:13" ht="36" customHeight="1">
      <c r="B15" s="431"/>
      <c r="C15" s="282"/>
      <c r="D15" s="348"/>
      <c r="E15" s="348"/>
      <c r="F15" s="348"/>
      <c r="G15" s="348"/>
      <c r="H15" s="349"/>
      <c r="I15" s="432" t="s">
        <v>11</v>
      </c>
      <c r="J15" s="433"/>
      <c r="K15" s="437" t="s">
        <v>228</v>
      </c>
      <c r="L15" s="438"/>
      <c r="M15" s="439"/>
    </row>
    <row r="16" spans="2:13" ht="15">
      <c r="B16" s="28" t="s">
        <v>12</v>
      </c>
      <c r="C16" s="29" t="s">
        <v>13</v>
      </c>
      <c r="D16" s="504" t="s">
        <v>14</v>
      </c>
      <c r="E16" s="505"/>
      <c r="F16" s="505"/>
      <c r="G16" s="505"/>
      <c r="H16" s="505"/>
      <c r="I16" s="505"/>
      <c r="J16" s="506"/>
      <c r="K16" s="30" t="s">
        <v>15</v>
      </c>
      <c r="L16" s="104" t="s">
        <v>16</v>
      </c>
      <c r="M16" s="31" t="s">
        <v>17</v>
      </c>
    </row>
    <row r="17" spans="2:13" ht="45.75" customHeight="1">
      <c r="B17" s="32"/>
      <c r="C17" s="23"/>
      <c r="D17" s="535" t="s">
        <v>136</v>
      </c>
      <c r="E17" s="536"/>
      <c r="F17" s="536"/>
      <c r="G17" s="536"/>
      <c r="H17" s="536"/>
      <c r="I17" s="536"/>
      <c r="J17" s="536"/>
      <c r="K17" s="169"/>
      <c r="L17" s="175"/>
      <c r="M17" s="172"/>
    </row>
    <row r="18" spans="2:13" ht="18" customHeight="1">
      <c r="B18" s="22"/>
      <c r="C18" s="36"/>
      <c r="D18" s="109"/>
      <c r="E18" s="110"/>
      <c r="F18" s="110"/>
      <c r="G18" s="110"/>
      <c r="H18" s="110"/>
      <c r="I18" s="110"/>
      <c r="J18" s="110"/>
      <c r="K18" s="170"/>
      <c r="L18" s="176"/>
      <c r="M18" s="173"/>
    </row>
    <row r="19" spans="2:13" ht="26.25" customHeight="1">
      <c r="B19" s="40"/>
      <c r="C19" s="41"/>
      <c r="D19" s="537" t="s">
        <v>14</v>
      </c>
      <c r="E19" s="537"/>
      <c r="F19" s="537"/>
      <c r="G19" s="537"/>
      <c r="H19" s="537"/>
      <c r="I19" s="537"/>
      <c r="J19" s="538"/>
      <c r="K19" s="171"/>
      <c r="L19" s="177"/>
      <c r="M19" s="47"/>
    </row>
    <row r="20" spans="2:13" ht="26.25" customHeight="1">
      <c r="B20" s="180" t="s">
        <v>218</v>
      </c>
      <c r="C20" s="78"/>
      <c r="D20" s="521" t="s">
        <v>138</v>
      </c>
      <c r="E20" s="522"/>
      <c r="F20" s="522"/>
      <c r="G20" s="522"/>
      <c r="H20" s="522"/>
      <c r="I20" s="522"/>
      <c r="J20" s="522"/>
      <c r="K20" s="171"/>
      <c r="L20" s="178"/>
      <c r="M20" s="179"/>
    </row>
    <row r="21" spans="2:13" ht="84.75" customHeight="1">
      <c r="B21" s="181"/>
      <c r="C21" s="77" t="s">
        <v>72</v>
      </c>
      <c r="D21" s="500" t="s">
        <v>229</v>
      </c>
      <c r="E21" s="501"/>
      <c r="F21" s="501"/>
      <c r="G21" s="501"/>
      <c r="H21" s="501"/>
      <c r="I21" s="501"/>
      <c r="J21" s="501"/>
      <c r="K21" s="171">
        <v>80</v>
      </c>
      <c r="L21" s="178">
        <v>148</v>
      </c>
      <c r="M21" s="195">
        <f>L21*K21</f>
        <v>11840</v>
      </c>
    </row>
    <row r="22" spans="2:13" ht="37.5" customHeight="1">
      <c r="B22" s="180" t="s">
        <v>219</v>
      </c>
      <c r="C22" s="78"/>
      <c r="D22" s="516" t="s">
        <v>139</v>
      </c>
      <c r="E22" s="517"/>
      <c r="F22" s="517"/>
      <c r="G22" s="517"/>
      <c r="H22" s="517"/>
      <c r="I22" s="517"/>
      <c r="J22" s="517"/>
      <c r="K22" s="171"/>
      <c r="L22" s="178"/>
      <c r="M22" s="179"/>
    </row>
    <row r="23" spans="2:13" ht="85.5" customHeight="1">
      <c r="B23" s="181"/>
      <c r="C23" s="77" t="s">
        <v>72</v>
      </c>
      <c r="D23" s="500" t="s">
        <v>229</v>
      </c>
      <c r="E23" s="501"/>
      <c r="F23" s="501"/>
      <c r="G23" s="501"/>
      <c r="H23" s="501"/>
      <c r="I23" s="501"/>
      <c r="J23" s="501"/>
      <c r="K23" s="171">
        <v>80</v>
      </c>
      <c r="L23" s="178">
        <v>148</v>
      </c>
      <c r="M23" s="195">
        <f>L23*K23</f>
        <v>11840</v>
      </c>
    </row>
    <row r="24" spans="2:13" ht="39" customHeight="1">
      <c r="B24" s="180" t="s">
        <v>224</v>
      </c>
      <c r="C24" s="77"/>
      <c r="D24" s="516" t="s">
        <v>140</v>
      </c>
      <c r="E24" s="517"/>
      <c r="F24" s="517"/>
      <c r="G24" s="517"/>
      <c r="H24" s="517"/>
      <c r="I24" s="517"/>
      <c r="J24" s="517"/>
      <c r="K24" s="171"/>
      <c r="L24" s="178"/>
      <c r="M24" s="195"/>
    </row>
    <row r="25" spans="2:13" ht="99.75" customHeight="1">
      <c r="B25" s="181"/>
      <c r="C25" s="77" t="s">
        <v>72</v>
      </c>
      <c r="D25" s="534" t="s">
        <v>215</v>
      </c>
      <c r="E25" s="522"/>
      <c r="F25" s="522"/>
      <c r="G25" s="522"/>
      <c r="H25" s="522"/>
      <c r="I25" s="522"/>
      <c r="J25" s="522"/>
      <c r="K25" s="171">
        <v>80</v>
      </c>
      <c r="L25" s="178">
        <v>148</v>
      </c>
      <c r="M25" s="195">
        <f t="shared" ref="M25" si="0">L25*K25</f>
        <v>11840</v>
      </c>
    </row>
    <row r="26" spans="2:13" ht="43.5" customHeight="1">
      <c r="B26" s="180" t="s">
        <v>225</v>
      </c>
      <c r="C26" s="77"/>
      <c r="D26" s="516" t="s">
        <v>141</v>
      </c>
      <c r="E26" s="517"/>
      <c r="F26" s="517"/>
      <c r="G26" s="517"/>
      <c r="H26" s="517"/>
      <c r="I26" s="517"/>
      <c r="J26" s="517"/>
      <c r="K26" s="171"/>
      <c r="L26" s="178"/>
      <c r="M26" s="195"/>
    </row>
    <row r="27" spans="2:13" ht="81" customHeight="1">
      <c r="B27" s="181"/>
      <c r="C27" s="77" t="s">
        <v>72</v>
      </c>
      <c r="D27" s="500" t="s">
        <v>229</v>
      </c>
      <c r="E27" s="501"/>
      <c r="F27" s="501"/>
      <c r="G27" s="501"/>
      <c r="H27" s="501"/>
      <c r="I27" s="501"/>
      <c r="J27" s="501"/>
      <c r="K27" s="171">
        <v>80</v>
      </c>
      <c r="L27" s="178">
        <v>148</v>
      </c>
      <c r="M27" s="195">
        <f>L27*K27</f>
        <v>11840</v>
      </c>
    </row>
    <row r="28" spans="2:13" ht="18" customHeight="1">
      <c r="B28" s="181"/>
      <c r="C28" s="77"/>
      <c r="D28" s="115"/>
      <c r="E28" s="119"/>
      <c r="F28" s="119"/>
      <c r="G28" s="119"/>
      <c r="H28" s="119"/>
      <c r="I28" s="119"/>
      <c r="J28" s="164"/>
      <c r="K28" s="183"/>
      <c r="L28" s="184"/>
      <c r="M28" s="179"/>
    </row>
    <row r="29" spans="2:13" ht="18" customHeight="1">
      <c r="B29" s="215"/>
      <c r="C29" s="77"/>
      <c r="D29" s="115" t="s">
        <v>204</v>
      </c>
      <c r="E29" s="119"/>
      <c r="F29" s="119"/>
      <c r="G29" s="119"/>
      <c r="H29" s="119"/>
      <c r="I29" s="119"/>
      <c r="J29" s="164"/>
      <c r="K29" s="183"/>
      <c r="L29" s="184"/>
      <c r="M29" s="179"/>
    </row>
    <row r="30" spans="2:13" ht="20.25" customHeight="1">
      <c r="B30" s="197"/>
      <c r="C30" s="77"/>
      <c r="D30" s="502" t="s">
        <v>76</v>
      </c>
      <c r="E30" s="503"/>
      <c r="F30" s="503"/>
      <c r="G30" s="503"/>
      <c r="H30" s="503"/>
      <c r="I30" s="503"/>
      <c r="J30" s="503"/>
      <c r="K30" s="183"/>
      <c r="L30" s="185"/>
      <c r="M30" s="179"/>
    </row>
    <row r="31" spans="2:13" ht="22.5" customHeight="1">
      <c r="B31" s="197"/>
      <c r="C31" s="77"/>
      <c r="D31" s="502" t="s">
        <v>77</v>
      </c>
      <c r="E31" s="503"/>
      <c r="F31" s="503"/>
      <c r="G31" s="503"/>
      <c r="H31" s="503"/>
      <c r="I31" s="503"/>
      <c r="J31" s="503"/>
      <c r="K31" s="137"/>
      <c r="L31" s="129"/>
      <c r="M31" s="137"/>
    </row>
    <row r="32" spans="2:13" ht="36" customHeight="1">
      <c r="B32" s="197"/>
      <c r="C32" s="77"/>
      <c r="D32" s="530" t="s">
        <v>78</v>
      </c>
      <c r="E32" s="531"/>
      <c r="F32" s="531"/>
      <c r="G32" s="531"/>
      <c r="H32" s="531"/>
      <c r="I32" s="531"/>
      <c r="J32" s="531"/>
      <c r="K32" s="137"/>
      <c r="L32" s="129"/>
      <c r="M32" s="137"/>
    </row>
    <row r="33" spans="2:13" ht="19.5" customHeight="1">
      <c r="B33" s="197"/>
      <c r="C33" s="77"/>
      <c r="D33" s="200"/>
      <c r="E33" s="201"/>
      <c r="F33" s="201"/>
      <c r="G33" s="201"/>
      <c r="H33" s="201"/>
      <c r="I33" s="201"/>
      <c r="J33" s="201"/>
      <c r="K33" s="137"/>
      <c r="L33" s="129"/>
      <c r="M33" s="137"/>
    </row>
    <row r="34" spans="2:13" ht="18.75" customHeight="1">
      <c r="B34" s="181"/>
      <c r="C34" s="77"/>
      <c r="D34" s="532" t="s">
        <v>39</v>
      </c>
      <c r="E34" s="533"/>
      <c r="F34" s="533"/>
      <c r="G34" s="533"/>
      <c r="H34" s="533"/>
      <c r="I34" s="533"/>
      <c r="J34" s="533"/>
      <c r="K34" s="183"/>
      <c r="L34" s="185"/>
      <c r="M34" s="179"/>
    </row>
    <row r="35" spans="2:13" ht="18.75" customHeight="1">
      <c r="B35" s="181"/>
      <c r="C35" s="77"/>
      <c r="D35" s="523" t="s">
        <v>208</v>
      </c>
      <c r="E35" s="524"/>
      <c r="F35" s="524"/>
      <c r="G35" s="524"/>
      <c r="H35" s="524"/>
      <c r="I35" s="524"/>
      <c r="J35" s="524"/>
      <c r="K35" s="183"/>
      <c r="L35" s="185"/>
      <c r="M35" s="179"/>
    </row>
    <row r="36" spans="2:13" ht="18.75" customHeight="1">
      <c r="B36" s="181"/>
      <c r="C36" s="77"/>
      <c r="D36" s="202" t="s">
        <v>207</v>
      </c>
      <c r="E36" s="204"/>
      <c r="F36" s="204"/>
      <c r="G36" s="204"/>
      <c r="H36" s="204"/>
      <c r="I36" s="204"/>
      <c r="J36" s="204"/>
      <c r="K36" s="183"/>
      <c r="L36" s="185"/>
      <c r="M36" s="179"/>
    </row>
    <row r="37" spans="2:13" ht="18.75" customHeight="1">
      <c r="B37" s="181"/>
      <c r="C37" s="77"/>
      <c r="D37" s="523" t="s">
        <v>205</v>
      </c>
      <c r="E37" s="524"/>
      <c r="F37" s="524"/>
      <c r="G37" s="524"/>
      <c r="H37" s="524"/>
      <c r="I37" s="524"/>
      <c r="J37" s="524"/>
      <c r="K37" s="183"/>
      <c r="L37" s="185"/>
      <c r="M37" s="179"/>
    </row>
    <row r="38" spans="2:13" ht="18.75" customHeight="1">
      <c r="B38" s="215"/>
      <c r="C38" s="77"/>
      <c r="D38" s="491" t="s">
        <v>227</v>
      </c>
      <c r="E38" s="492"/>
      <c r="F38" s="492"/>
      <c r="G38" s="492"/>
      <c r="H38" s="492"/>
      <c r="I38" s="492"/>
      <c r="J38" s="492"/>
      <c r="K38" s="216"/>
      <c r="L38" s="185"/>
      <c r="M38" s="205"/>
    </row>
    <row r="39" spans="2:13" ht="18">
      <c r="B39" s="99"/>
      <c r="C39" s="217"/>
      <c r="D39" s="65"/>
      <c r="E39" s="66"/>
      <c r="F39" s="66"/>
      <c r="G39" s="66"/>
      <c r="H39" s="66"/>
      <c r="I39" s="66"/>
      <c r="J39" s="67"/>
      <c r="K39" s="525" t="s">
        <v>20</v>
      </c>
      <c r="L39" s="525"/>
      <c r="M39" s="234">
        <f>SUM(M21:M27)</f>
        <v>47360</v>
      </c>
    </row>
    <row r="40" spans="2:13" ht="18">
      <c r="B40" s="526" t="s">
        <v>192</v>
      </c>
      <c r="C40" s="527"/>
      <c r="D40" s="528"/>
      <c r="E40" s="528"/>
      <c r="F40" s="528"/>
      <c r="G40" s="528"/>
      <c r="H40" s="528"/>
      <c r="I40" s="528"/>
      <c r="J40" s="528"/>
      <c r="K40" s="527"/>
      <c r="L40" s="527"/>
      <c r="M40" s="529"/>
    </row>
    <row r="41" spans="2:13" ht="15">
      <c r="B41" s="49" t="s">
        <v>18</v>
      </c>
      <c r="C41" s="21"/>
      <c r="D41" s="21"/>
      <c r="E41" s="21"/>
      <c r="F41" s="21"/>
      <c r="G41" s="21"/>
      <c r="H41" s="21"/>
      <c r="I41" s="21"/>
      <c r="J41" s="21"/>
      <c r="K41" s="21"/>
      <c r="L41" s="21"/>
      <c r="M41" s="50"/>
    </row>
    <row r="42" spans="2:13" ht="15">
      <c r="B42" s="49" t="s">
        <v>19</v>
      </c>
      <c r="C42" s="21"/>
      <c r="D42" s="21"/>
      <c r="E42" s="21"/>
      <c r="F42" s="21"/>
      <c r="G42" s="21"/>
      <c r="H42" s="21"/>
      <c r="I42" s="21"/>
      <c r="J42" s="21"/>
      <c r="K42" s="21"/>
      <c r="L42" s="21"/>
      <c r="M42" s="50"/>
    </row>
    <row r="43" spans="2:13" ht="15">
      <c r="B43" s="49"/>
      <c r="C43" s="21"/>
      <c r="D43" s="21"/>
      <c r="E43" s="21"/>
      <c r="F43" s="21"/>
      <c r="G43" s="21"/>
      <c r="H43" s="21"/>
      <c r="I43" s="21"/>
      <c r="J43" s="21" t="s">
        <v>23</v>
      </c>
      <c r="K43" s="21"/>
      <c r="L43" s="21"/>
      <c r="M43" s="50"/>
    </row>
    <row r="44" spans="2:13" ht="15">
      <c r="B44" s="49"/>
      <c r="C44" s="21"/>
      <c r="D44" s="21"/>
      <c r="E44" s="21"/>
      <c r="F44" s="21"/>
      <c r="G44" s="21"/>
      <c r="H44" s="21"/>
      <c r="I44" s="21"/>
      <c r="J44" s="21"/>
      <c r="K44" s="21"/>
      <c r="L44" s="21"/>
      <c r="M44" s="50"/>
    </row>
    <row r="45" spans="2:13" ht="15">
      <c r="B45" s="52" t="s">
        <v>22</v>
      </c>
      <c r="C45" s="21"/>
      <c r="D45" s="21"/>
      <c r="E45" s="21"/>
      <c r="F45" s="21"/>
      <c r="G45" s="21"/>
      <c r="H45" s="21"/>
      <c r="I45" s="21"/>
      <c r="J45" s="21"/>
      <c r="K45" s="21"/>
      <c r="L45" s="21"/>
      <c r="M45" s="50"/>
    </row>
    <row r="46" spans="2:13" ht="18.75" thickBot="1">
      <c r="B46" s="49"/>
      <c r="C46" s="53"/>
      <c r="D46" s="53"/>
      <c r="E46" s="53"/>
      <c r="F46" s="21"/>
      <c r="G46" s="21"/>
      <c r="H46" s="21"/>
      <c r="I46" s="54"/>
      <c r="J46" s="102" t="s">
        <v>217</v>
      </c>
      <c r="K46" s="54"/>
      <c r="L46" s="54"/>
      <c r="M46" s="50"/>
    </row>
    <row r="47" spans="2:13" ht="18">
      <c r="B47" s="49"/>
      <c r="C47" s="463" t="s">
        <v>21</v>
      </c>
      <c r="D47" s="463"/>
      <c r="E47" s="463"/>
      <c r="F47" s="55"/>
      <c r="G47" s="55"/>
      <c r="H47" s="21"/>
      <c r="I47" s="56"/>
      <c r="J47" s="103" t="s">
        <v>91</v>
      </c>
      <c r="K47" s="56"/>
      <c r="L47" s="56"/>
      <c r="M47" s="50"/>
    </row>
    <row r="48" spans="2:13" ht="18">
      <c r="B48" s="49"/>
      <c r="C48" s="55"/>
      <c r="D48" s="55"/>
      <c r="E48" s="55"/>
      <c r="F48" s="55"/>
      <c r="G48" s="55"/>
      <c r="H48" s="21"/>
      <c r="I48" s="56"/>
      <c r="J48" s="103"/>
      <c r="K48" s="56"/>
      <c r="L48" s="56"/>
      <c r="M48" s="50" t="s">
        <v>36</v>
      </c>
    </row>
    <row r="49" spans="2:13" ht="18.75" thickBot="1">
      <c r="B49" s="49"/>
      <c r="C49" s="53"/>
      <c r="D49" s="53"/>
      <c r="E49" s="53"/>
      <c r="F49" s="21"/>
      <c r="G49" s="21"/>
      <c r="H49" s="21"/>
      <c r="I49" s="21"/>
      <c r="J49" s="103"/>
      <c r="K49" s="21"/>
      <c r="L49" s="21"/>
      <c r="M49" s="50"/>
    </row>
    <row r="50" spans="2:13" ht="15">
      <c r="B50" s="57"/>
      <c r="C50" s="464" t="s">
        <v>1</v>
      </c>
      <c r="D50" s="464"/>
      <c r="E50" s="464"/>
      <c r="F50" s="58"/>
      <c r="G50" s="58"/>
      <c r="H50" s="59"/>
      <c r="I50" s="59"/>
      <c r="J50" s="59"/>
      <c r="K50" s="59"/>
      <c r="L50" s="59"/>
      <c r="M50" s="50"/>
    </row>
    <row r="51" spans="2:13" ht="18.75" thickBot="1">
      <c r="B51" s="97" t="s">
        <v>24</v>
      </c>
      <c r="C51" s="98"/>
      <c r="D51" s="98"/>
      <c r="E51" s="98"/>
      <c r="F51" s="98"/>
      <c r="G51" s="98"/>
      <c r="H51" s="98"/>
      <c r="I51" s="98" t="s">
        <v>25</v>
      </c>
      <c r="J51" s="53"/>
      <c r="K51" s="53"/>
      <c r="L51" s="53"/>
      <c r="M51" s="60"/>
    </row>
    <row r="52" spans="2:13" ht="18.75" thickBot="1">
      <c r="B52" s="97"/>
      <c r="C52" s="98"/>
      <c r="D52" s="98"/>
      <c r="E52" s="98"/>
      <c r="F52" s="98"/>
      <c r="G52" s="98"/>
      <c r="H52" s="98"/>
      <c r="I52" s="98"/>
      <c r="J52" s="53"/>
      <c r="K52" s="53"/>
      <c r="L52" s="53"/>
      <c r="M52" s="61"/>
    </row>
    <row r="53" spans="2:13" ht="18.75" thickBot="1">
      <c r="B53" s="99"/>
      <c r="C53" s="465" t="s">
        <v>73</v>
      </c>
      <c r="D53" s="465"/>
      <c r="E53" s="465"/>
      <c r="F53" s="100"/>
      <c r="G53" s="100"/>
      <c r="H53" s="98"/>
      <c r="I53" s="98" t="s">
        <v>26</v>
      </c>
      <c r="J53" s="53"/>
      <c r="K53" s="53"/>
      <c r="L53" s="53"/>
      <c r="M53" s="61"/>
    </row>
    <row r="54" spans="2:13" ht="18.75" thickBot="1">
      <c r="B54" s="476" t="s">
        <v>206</v>
      </c>
      <c r="C54" s="477"/>
      <c r="D54" s="477"/>
      <c r="E54" s="477"/>
      <c r="F54" s="477"/>
      <c r="G54" s="477"/>
      <c r="H54" s="101"/>
      <c r="I54" s="101"/>
      <c r="J54" s="53"/>
      <c r="K54" s="53"/>
      <c r="L54" s="53"/>
      <c r="M54" s="61"/>
    </row>
  </sheetData>
  <mergeCells count="48">
    <mergeCell ref="C53:E53"/>
    <mergeCell ref="D20:J20"/>
    <mergeCell ref="D22:J22"/>
    <mergeCell ref="J2:K4"/>
    <mergeCell ref="D35:J35"/>
    <mergeCell ref="D37:J37"/>
    <mergeCell ref="K39:L39"/>
    <mergeCell ref="B40:M40"/>
    <mergeCell ref="C47:E47"/>
    <mergeCell ref="C50:E50"/>
    <mergeCell ref="D32:J32"/>
    <mergeCell ref="D34:J34"/>
    <mergeCell ref="D25:J25"/>
    <mergeCell ref="D26:J26"/>
    <mergeCell ref="D17:J17"/>
    <mergeCell ref="D19:J19"/>
    <mergeCell ref="D21:J21"/>
    <mergeCell ref="D23:J23"/>
    <mergeCell ref="D24:J24"/>
    <mergeCell ref="J5:K5"/>
    <mergeCell ref="L5:M5"/>
    <mergeCell ref="C6:I6"/>
    <mergeCell ref="B7:B8"/>
    <mergeCell ref="C7:I8"/>
    <mergeCell ref="B2:B5"/>
    <mergeCell ref="C4:I5"/>
    <mergeCell ref="L2:M4"/>
    <mergeCell ref="J6:K7"/>
    <mergeCell ref="L6:M7"/>
    <mergeCell ref="J8:K10"/>
    <mergeCell ref="L8:M10"/>
    <mergeCell ref="C2:I3"/>
    <mergeCell ref="B54:G54"/>
    <mergeCell ref="D38:J38"/>
    <mergeCell ref="B9:B10"/>
    <mergeCell ref="C9:I10"/>
    <mergeCell ref="B12:M12"/>
    <mergeCell ref="B13:M13"/>
    <mergeCell ref="B14:B15"/>
    <mergeCell ref="C14:H15"/>
    <mergeCell ref="I14:J14"/>
    <mergeCell ref="K14:M14"/>
    <mergeCell ref="I15:J15"/>
    <mergeCell ref="K15:M15"/>
    <mergeCell ref="D27:J27"/>
    <mergeCell ref="D30:J30"/>
    <mergeCell ref="D31:J31"/>
    <mergeCell ref="D16:J16"/>
  </mergeCells>
  <printOptions horizontalCentered="1"/>
  <pageMargins left="0.25" right="0.25" top="0.25" bottom="0" header="0" footer="0"/>
  <pageSetup paperSize="9" scale="53"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00C0-82AC-42F8-914F-05D32C658A94}">
  <sheetPr codeName="Sheet4">
    <tabColor rgb="FFC00000"/>
    <pageSetUpPr fitToPage="1"/>
  </sheetPr>
  <dimension ref="B1:M52"/>
  <sheetViews>
    <sheetView view="pageBreakPreview" zoomScale="78" zoomScaleNormal="100" zoomScaleSheetLayoutView="78" workbookViewId="0">
      <selection activeCell="E41" sqref="E41"/>
    </sheetView>
  </sheetViews>
  <sheetFormatPr defaultColWidth="9.140625" defaultRowHeight="14.25"/>
  <cols>
    <col min="1" max="1" width="15.42578125" style="1" customWidth="1"/>
    <col min="2" max="2" width="23" style="2" customWidth="1"/>
    <col min="3" max="3" width="9.5703125" style="1" customWidth="1"/>
    <col min="4" max="4" width="13.5703125" style="1" customWidth="1"/>
    <col min="5" max="5" width="21.140625" style="1" customWidth="1"/>
    <col min="6" max="6" width="24.7109375" style="1" customWidth="1"/>
    <col min="7" max="7" width="12.28515625" style="1" customWidth="1"/>
    <col min="8" max="8" width="4.85546875" style="1" customWidth="1"/>
    <col min="9" max="9" width="4.7109375" style="1" customWidth="1"/>
    <col min="10" max="10" width="19.28515625" style="1" customWidth="1"/>
    <col min="11" max="11" width="14" style="1" customWidth="1"/>
    <col min="12" max="12" width="13.42578125" style="1" customWidth="1"/>
    <col min="13" max="13" width="20.5703125" style="1" customWidth="1"/>
    <col min="14" max="16384" width="9.140625" style="1"/>
  </cols>
  <sheetData>
    <row r="1" spans="2:13" ht="15.75" thickBot="1">
      <c r="B1" s="21"/>
      <c r="C1" s="21"/>
      <c r="D1" s="21"/>
      <c r="E1" s="21"/>
      <c r="F1" s="21"/>
      <c r="G1" s="21"/>
      <c r="H1" s="21"/>
      <c r="I1" s="21"/>
      <c r="J1" s="21"/>
      <c r="K1" s="21"/>
      <c r="L1" s="21"/>
      <c r="M1" s="21"/>
    </row>
    <row r="2" spans="2:13" ht="14.25" customHeight="1">
      <c r="B2" s="507"/>
      <c r="C2" s="412" t="s">
        <v>0</v>
      </c>
      <c r="D2" s="413"/>
      <c r="E2" s="413"/>
      <c r="F2" s="413"/>
      <c r="G2" s="413"/>
      <c r="H2" s="413"/>
      <c r="I2" s="414"/>
      <c r="J2" s="316" t="s">
        <v>181</v>
      </c>
      <c r="K2" s="317"/>
      <c r="L2" s="322" t="s">
        <v>144</v>
      </c>
      <c r="M2" s="323"/>
    </row>
    <row r="3" spans="2:13" ht="14.25" customHeight="1">
      <c r="B3" s="508"/>
      <c r="C3" s="415"/>
      <c r="D3" s="416"/>
      <c r="E3" s="416"/>
      <c r="F3" s="416"/>
      <c r="G3" s="416"/>
      <c r="H3" s="416"/>
      <c r="I3" s="417"/>
      <c r="J3" s="318"/>
      <c r="K3" s="319"/>
      <c r="L3" s="324"/>
      <c r="M3" s="325"/>
    </row>
    <row r="4" spans="2:13" ht="24" customHeight="1">
      <c r="B4" s="508"/>
      <c r="C4" s="510" t="s">
        <v>27</v>
      </c>
      <c r="D4" s="511"/>
      <c r="E4" s="511"/>
      <c r="F4" s="511"/>
      <c r="G4" s="511"/>
      <c r="H4" s="511"/>
      <c r="I4" s="512"/>
      <c r="J4" s="320"/>
      <c r="K4" s="321"/>
      <c r="L4" s="326"/>
      <c r="M4" s="327"/>
    </row>
    <row r="5" spans="2:13" ht="35.25" customHeight="1">
      <c r="B5" s="509"/>
      <c r="C5" s="513"/>
      <c r="D5" s="514"/>
      <c r="E5" s="514"/>
      <c r="F5" s="514"/>
      <c r="G5" s="514"/>
      <c r="H5" s="514"/>
      <c r="I5" s="515"/>
      <c r="J5" s="334" t="s">
        <v>1</v>
      </c>
      <c r="K5" s="335"/>
      <c r="L5" s="336" t="s">
        <v>182</v>
      </c>
      <c r="M5" s="337"/>
    </row>
    <row r="6" spans="2:13" ht="24" customHeight="1">
      <c r="B6" s="126" t="s">
        <v>3</v>
      </c>
      <c r="C6" s="518" t="s">
        <v>86</v>
      </c>
      <c r="D6" s="519"/>
      <c r="E6" s="519"/>
      <c r="F6" s="519"/>
      <c r="G6" s="519"/>
      <c r="H6" s="519"/>
      <c r="I6" s="520"/>
      <c r="J6" s="276" t="s">
        <v>4</v>
      </c>
      <c r="K6" s="277"/>
      <c r="L6" s="280" t="s">
        <v>43</v>
      </c>
      <c r="M6" s="281"/>
    </row>
    <row r="7" spans="2:13" ht="14.25" customHeight="1">
      <c r="B7" s="411" t="s">
        <v>2</v>
      </c>
      <c r="C7" s="286" t="s">
        <v>81</v>
      </c>
      <c r="D7" s="286"/>
      <c r="E7" s="286"/>
      <c r="F7" s="286"/>
      <c r="G7" s="286"/>
      <c r="H7" s="286"/>
      <c r="I7" s="286"/>
      <c r="J7" s="278"/>
      <c r="K7" s="279"/>
      <c r="L7" s="282"/>
      <c r="M7" s="283"/>
    </row>
    <row r="8" spans="2:13" ht="23.25" customHeight="1">
      <c r="B8" s="411"/>
      <c r="C8" s="286"/>
      <c r="D8" s="286"/>
      <c r="E8" s="286"/>
      <c r="F8" s="286"/>
      <c r="G8" s="286"/>
      <c r="H8" s="286"/>
      <c r="I8" s="286"/>
      <c r="J8" s="276" t="s">
        <v>5</v>
      </c>
      <c r="K8" s="277"/>
      <c r="L8" s="291" t="s">
        <v>193</v>
      </c>
      <c r="M8" s="292"/>
    </row>
    <row r="9" spans="2:13" ht="15" customHeight="1">
      <c r="B9" s="297" t="s">
        <v>80</v>
      </c>
      <c r="C9" s="299">
        <v>9101406861</v>
      </c>
      <c r="D9" s="300"/>
      <c r="E9" s="300"/>
      <c r="F9" s="300"/>
      <c r="G9" s="300"/>
      <c r="H9" s="300"/>
      <c r="I9" s="301"/>
      <c r="J9" s="287"/>
      <c r="K9" s="288"/>
      <c r="L9" s="293"/>
      <c r="M9" s="294"/>
    </row>
    <row r="10" spans="2:13" ht="27" customHeight="1" thickBot="1">
      <c r="B10" s="298"/>
      <c r="C10" s="302"/>
      <c r="D10" s="303"/>
      <c r="E10" s="303"/>
      <c r="F10" s="303"/>
      <c r="G10" s="303"/>
      <c r="H10" s="303"/>
      <c r="I10" s="304"/>
      <c r="J10" s="289"/>
      <c r="K10" s="290"/>
      <c r="L10" s="295"/>
      <c r="M10" s="296"/>
    </row>
    <row r="11" spans="2:13" ht="3.75" customHeight="1" thickBot="1">
      <c r="B11" s="24"/>
      <c r="C11" s="25"/>
      <c r="D11" s="25"/>
      <c r="E11" s="25"/>
      <c r="F11" s="25"/>
      <c r="G11" s="25"/>
      <c r="H11" s="25"/>
      <c r="I11" s="25"/>
      <c r="J11" s="25"/>
      <c r="K11" s="25"/>
      <c r="L11" s="26"/>
      <c r="M11" s="27"/>
    </row>
    <row r="12" spans="2:13" ht="15">
      <c r="B12" s="493" t="s">
        <v>36</v>
      </c>
      <c r="C12" s="494"/>
      <c r="D12" s="494"/>
      <c r="E12" s="494"/>
      <c r="F12" s="494"/>
      <c r="G12" s="494"/>
      <c r="H12" s="494"/>
      <c r="I12" s="494"/>
      <c r="J12" s="494"/>
      <c r="K12" s="494"/>
      <c r="L12" s="494"/>
      <c r="M12" s="495"/>
    </row>
    <row r="13" spans="2:13" ht="15.75">
      <c r="B13" s="341" t="s">
        <v>8</v>
      </c>
      <c r="C13" s="342"/>
      <c r="D13" s="342"/>
      <c r="E13" s="342"/>
      <c r="F13" s="342"/>
      <c r="G13" s="342"/>
      <c r="H13" s="342"/>
      <c r="I13" s="342"/>
      <c r="J13" s="342"/>
      <c r="K13" s="342"/>
      <c r="L13" s="342"/>
      <c r="M13" s="343"/>
    </row>
    <row r="14" spans="2:13" ht="37.5" customHeight="1">
      <c r="B14" s="430" t="s">
        <v>9</v>
      </c>
      <c r="C14" s="496" t="s">
        <v>71</v>
      </c>
      <c r="D14" s="346"/>
      <c r="E14" s="346"/>
      <c r="F14" s="346"/>
      <c r="G14" s="346"/>
      <c r="H14" s="347"/>
      <c r="I14" s="432" t="s">
        <v>10</v>
      </c>
      <c r="J14" s="433"/>
      <c r="K14" s="539" t="s">
        <v>145</v>
      </c>
      <c r="L14" s="540"/>
      <c r="M14" s="541"/>
    </row>
    <row r="15" spans="2:13" ht="23.25" customHeight="1">
      <c r="B15" s="431"/>
      <c r="C15" s="282"/>
      <c r="D15" s="348"/>
      <c r="E15" s="348"/>
      <c r="F15" s="348"/>
      <c r="G15" s="348"/>
      <c r="H15" s="349"/>
      <c r="I15" s="432" t="s">
        <v>11</v>
      </c>
      <c r="J15" s="433"/>
      <c r="K15" s="542" t="s">
        <v>28</v>
      </c>
      <c r="L15" s="543"/>
      <c r="M15" s="544"/>
    </row>
    <row r="16" spans="2:13" ht="15">
      <c r="B16" s="28" t="s">
        <v>12</v>
      </c>
      <c r="C16" s="29" t="s">
        <v>13</v>
      </c>
      <c r="D16" s="504" t="s">
        <v>14</v>
      </c>
      <c r="E16" s="505"/>
      <c r="F16" s="505"/>
      <c r="G16" s="505"/>
      <c r="H16" s="505"/>
      <c r="I16" s="505"/>
      <c r="J16" s="506"/>
      <c r="K16" s="30" t="s">
        <v>15</v>
      </c>
      <c r="L16" s="104" t="s">
        <v>16</v>
      </c>
      <c r="M16" s="31" t="s">
        <v>17</v>
      </c>
    </row>
    <row r="17" spans="2:13" ht="45.75" customHeight="1">
      <c r="B17" s="225">
        <v>1</v>
      </c>
      <c r="C17" s="226" t="s">
        <v>85</v>
      </c>
      <c r="D17" s="547" t="s">
        <v>143</v>
      </c>
      <c r="E17" s="548"/>
      <c r="F17" s="548"/>
      <c r="G17" s="548"/>
      <c r="H17" s="548"/>
      <c r="I17" s="548"/>
      <c r="J17" s="548"/>
      <c r="K17" s="169"/>
      <c r="L17" s="34"/>
      <c r="M17" s="172"/>
    </row>
    <row r="18" spans="2:13" ht="18" customHeight="1">
      <c r="B18" s="22"/>
      <c r="C18" s="36"/>
      <c r="D18" s="109"/>
      <c r="E18" s="110"/>
      <c r="F18" s="110"/>
      <c r="G18" s="110"/>
      <c r="H18" s="110"/>
      <c r="I18" s="110"/>
      <c r="J18" s="110"/>
      <c r="K18" s="170"/>
      <c r="L18" s="38"/>
      <c r="M18" s="173"/>
    </row>
    <row r="19" spans="2:13" ht="26.25" customHeight="1">
      <c r="B19" s="40"/>
      <c r="C19" s="41"/>
      <c r="D19" s="537" t="s">
        <v>14</v>
      </c>
      <c r="E19" s="537"/>
      <c r="F19" s="537"/>
      <c r="G19" s="537"/>
      <c r="H19" s="537"/>
      <c r="I19" s="537"/>
      <c r="J19" s="538"/>
      <c r="K19" s="171"/>
      <c r="L19" s="42"/>
      <c r="M19" s="47"/>
    </row>
    <row r="20" spans="2:13" ht="130.5" customHeight="1">
      <c r="B20" s="181"/>
      <c r="C20" s="78"/>
      <c r="D20" s="516" t="s">
        <v>146</v>
      </c>
      <c r="E20" s="522"/>
      <c r="F20" s="522"/>
      <c r="G20" s="522"/>
      <c r="H20" s="522"/>
      <c r="I20" s="522"/>
      <c r="J20" s="522"/>
      <c r="K20" s="171">
        <v>1</v>
      </c>
      <c r="L20" s="174">
        <v>34000</v>
      </c>
      <c r="M20" s="179">
        <f>L20*K20</f>
        <v>34000</v>
      </c>
    </row>
    <row r="21" spans="2:13" ht="163.5" customHeight="1">
      <c r="B21" s="181"/>
      <c r="C21" s="77"/>
      <c r="D21" s="534" t="s">
        <v>223</v>
      </c>
      <c r="E21" s="522"/>
      <c r="F21" s="522"/>
      <c r="G21" s="522"/>
      <c r="H21" s="522"/>
      <c r="I21" s="522"/>
      <c r="J21" s="522"/>
      <c r="K21" s="171"/>
      <c r="L21" s="174"/>
      <c r="M21" s="195"/>
    </row>
    <row r="22" spans="2:13" ht="18" customHeight="1">
      <c r="B22" s="181"/>
      <c r="C22" s="77"/>
      <c r="D22" s="115" t="s">
        <v>79</v>
      </c>
      <c r="E22" s="206"/>
      <c r="F22" s="119"/>
      <c r="G22" s="119"/>
      <c r="H22" s="119"/>
      <c r="I22" s="119"/>
      <c r="J22" s="164"/>
      <c r="K22" s="183"/>
      <c r="L22" s="92"/>
      <c r="M22" s="179"/>
    </row>
    <row r="23" spans="2:13" ht="20.25" customHeight="1">
      <c r="B23" s="197"/>
      <c r="C23" s="77"/>
      <c r="D23" s="502" t="s">
        <v>76</v>
      </c>
      <c r="E23" s="503"/>
      <c r="F23" s="503"/>
      <c r="G23" s="503"/>
      <c r="H23" s="503"/>
      <c r="I23" s="503"/>
      <c r="J23" s="503"/>
      <c r="K23" s="183"/>
      <c r="L23" s="179"/>
      <c r="M23" s="179"/>
    </row>
    <row r="24" spans="2:13" ht="22.5" customHeight="1">
      <c r="B24" s="197"/>
      <c r="C24" s="77"/>
      <c r="D24" s="502" t="s">
        <v>77</v>
      </c>
      <c r="E24" s="503"/>
      <c r="F24" s="503"/>
      <c r="G24" s="503"/>
      <c r="H24" s="503"/>
      <c r="I24" s="503"/>
      <c r="J24" s="503"/>
      <c r="K24" s="137"/>
      <c r="L24" s="137"/>
      <c r="M24" s="137"/>
    </row>
    <row r="25" spans="2:13" ht="36" customHeight="1">
      <c r="B25" s="197"/>
      <c r="C25" s="77"/>
      <c r="D25" s="530" t="s">
        <v>78</v>
      </c>
      <c r="E25" s="531"/>
      <c r="F25" s="531"/>
      <c r="G25" s="531"/>
      <c r="H25" s="531"/>
      <c r="I25" s="531"/>
      <c r="J25" s="531"/>
      <c r="K25" s="137"/>
      <c r="L25" s="137"/>
      <c r="M25" s="137"/>
    </row>
    <row r="26" spans="2:13" ht="18.75" customHeight="1">
      <c r="B26" s="197"/>
      <c r="C26" s="77"/>
      <c r="D26" s="200"/>
      <c r="E26" s="201"/>
      <c r="F26" s="201"/>
      <c r="G26" s="201"/>
      <c r="H26" s="201"/>
      <c r="I26" s="201"/>
      <c r="J26" s="201"/>
      <c r="K26" s="137"/>
      <c r="L26" s="137"/>
      <c r="M26" s="137"/>
    </row>
    <row r="27" spans="2:13" ht="18.75" customHeight="1">
      <c r="B27" s="197"/>
      <c r="C27" s="77"/>
      <c r="D27" s="532" t="s">
        <v>149</v>
      </c>
      <c r="E27" s="533"/>
      <c r="F27" s="533"/>
      <c r="G27" s="533"/>
      <c r="H27" s="533"/>
      <c r="I27" s="533"/>
      <c r="J27" s="533"/>
      <c r="K27" s="137"/>
      <c r="L27" s="137"/>
      <c r="M27" s="137"/>
    </row>
    <row r="28" spans="2:13" ht="26.25" customHeight="1">
      <c r="B28" s="197"/>
      <c r="C28" s="77"/>
      <c r="D28" s="502" t="s">
        <v>148</v>
      </c>
      <c r="E28" s="503"/>
      <c r="F28" s="503"/>
      <c r="G28" s="503"/>
      <c r="H28" s="503"/>
      <c r="I28" s="503"/>
      <c r="J28" s="503"/>
      <c r="K28" s="137"/>
      <c r="L28" s="137"/>
      <c r="M28" s="137"/>
    </row>
    <row r="29" spans="2:13" ht="37.5" customHeight="1">
      <c r="B29" s="197"/>
      <c r="C29" s="77"/>
      <c r="D29" s="502" t="s">
        <v>147</v>
      </c>
      <c r="E29" s="503"/>
      <c r="F29" s="503"/>
      <c r="G29" s="503"/>
      <c r="H29" s="503"/>
      <c r="I29" s="503"/>
      <c r="J29" s="503"/>
      <c r="K29" s="137"/>
      <c r="L29" s="137"/>
      <c r="M29" s="137"/>
    </row>
    <row r="30" spans="2:13" ht="37.5" customHeight="1">
      <c r="B30" s="197"/>
      <c r="C30" s="77"/>
      <c r="D30" s="198"/>
      <c r="E30" s="199"/>
      <c r="F30" s="199"/>
      <c r="G30" s="199"/>
      <c r="H30" s="199"/>
      <c r="I30" s="199"/>
      <c r="J30" s="199"/>
      <c r="K30" s="137"/>
      <c r="L30" s="137"/>
      <c r="M30" s="137"/>
    </row>
    <row r="31" spans="2:13" ht="18.75" customHeight="1">
      <c r="B31" s="181"/>
      <c r="C31" s="77"/>
      <c r="D31" s="532" t="s">
        <v>39</v>
      </c>
      <c r="E31" s="533"/>
      <c r="F31" s="533"/>
      <c r="G31" s="533"/>
      <c r="H31" s="533"/>
      <c r="I31" s="533"/>
      <c r="J31" s="533"/>
      <c r="K31" s="183"/>
      <c r="L31" s="179"/>
      <c r="M31" s="179"/>
    </row>
    <row r="32" spans="2:13" ht="18.75" customHeight="1">
      <c r="B32" s="181"/>
      <c r="C32" s="77"/>
      <c r="D32" s="523" t="s">
        <v>208</v>
      </c>
      <c r="E32" s="524"/>
      <c r="F32" s="524"/>
      <c r="G32" s="524"/>
      <c r="H32" s="524"/>
      <c r="I32" s="524"/>
      <c r="J32" s="524"/>
      <c r="K32" s="183"/>
      <c r="L32" s="179"/>
      <c r="M32" s="179"/>
    </row>
    <row r="33" spans="2:13" ht="18.75" customHeight="1">
      <c r="B33" s="181"/>
      <c r="C33" s="77"/>
      <c r="D33" s="203"/>
      <c r="E33" s="204"/>
      <c r="F33" s="204"/>
      <c r="G33" s="204"/>
      <c r="H33" s="204"/>
      <c r="I33" s="204"/>
      <c r="J33" s="204"/>
      <c r="K33" s="183"/>
      <c r="L33" s="179"/>
      <c r="M33" s="179"/>
    </row>
    <row r="34" spans="2:13" ht="18.75" customHeight="1">
      <c r="B34" s="181"/>
      <c r="C34" s="77"/>
      <c r="D34" s="532" t="s">
        <v>207</v>
      </c>
      <c r="E34" s="533"/>
      <c r="F34" s="533"/>
      <c r="G34" s="533"/>
      <c r="H34" s="533"/>
      <c r="I34" s="533"/>
      <c r="J34" s="533"/>
      <c r="K34" s="183"/>
      <c r="L34" s="179"/>
      <c r="M34" s="179"/>
    </row>
    <row r="35" spans="2:13" ht="18.75" customHeight="1">
      <c r="B35" s="215"/>
      <c r="C35" s="77"/>
      <c r="D35" s="523" t="s">
        <v>205</v>
      </c>
      <c r="E35" s="524"/>
      <c r="F35" s="204"/>
      <c r="G35" s="204"/>
      <c r="H35" s="204"/>
      <c r="I35" s="204"/>
      <c r="J35" s="204"/>
      <c r="K35" s="183"/>
      <c r="L35" s="179"/>
      <c r="M35" s="179"/>
    </row>
    <row r="36" spans="2:13" ht="18.75" customHeight="1">
      <c r="B36" s="215"/>
      <c r="C36" s="77"/>
      <c r="D36" s="491" t="s">
        <v>227</v>
      </c>
      <c r="E36" s="492"/>
      <c r="F36" s="492"/>
      <c r="G36" s="492"/>
      <c r="H36" s="492"/>
      <c r="I36" s="492"/>
      <c r="J36" s="492"/>
      <c r="K36" s="216"/>
      <c r="L36" s="205"/>
      <c r="M36" s="205"/>
    </row>
    <row r="37" spans="2:13" ht="18">
      <c r="B37" s="99"/>
      <c r="C37" s="217"/>
      <c r="D37" s="65"/>
      <c r="E37" s="66"/>
      <c r="F37" s="66"/>
      <c r="G37" s="66"/>
      <c r="H37" s="66"/>
      <c r="I37" s="66"/>
      <c r="J37" s="67"/>
      <c r="K37" s="545" t="s">
        <v>20</v>
      </c>
      <c r="L37" s="546"/>
      <c r="M37" s="182">
        <f>M20</f>
        <v>34000</v>
      </c>
    </row>
    <row r="38" spans="2:13" ht="18">
      <c r="B38" s="526" t="s">
        <v>194</v>
      </c>
      <c r="C38" s="527"/>
      <c r="D38" s="528"/>
      <c r="E38" s="528"/>
      <c r="F38" s="528"/>
      <c r="G38" s="528"/>
      <c r="H38" s="528"/>
      <c r="I38" s="528"/>
      <c r="J38" s="528"/>
      <c r="K38" s="527"/>
      <c r="L38" s="527"/>
      <c r="M38" s="529"/>
    </row>
    <row r="39" spans="2:13" ht="15">
      <c r="B39" s="49" t="s">
        <v>18</v>
      </c>
      <c r="C39" s="21"/>
      <c r="D39" s="21"/>
      <c r="E39" s="21"/>
      <c r="F39" s="21"/>
      <c r="G39" s="21"/>
      <c r="H39" s="21"/>
      <c r="I39" s="21"/>
      <c r="J39" s="21"/>
      <c r="K39" s="21"/>
      <c r="L39" s="21"/>
      <c r="M39" s="50"/>
    </row>
    <row r="40" spans="2:13" ht="15">
      <c r="B40" s="49" t="s">
        <v>19</v>
      </c>
      <c r="C40" s="21"/>
      <c r="D40" s="21"/>
      <c r="E40" s="21"/>
      <c r="F40" s="21"/>
      <c r="G40" s="21"/>
      <c r="H40" s="21"/>
      <c r="I40" s="21"/>
      <c r="J40" s="21"/>
      <c r="K40" s="21"/>
      <c r="L40" s="21"/>
      <c r="M40" s="50"/>
    </row>
    <row r="41" spans="2:13" ht="15">
      <c r="B41" s="49"/>
      <c r="C41" s="21"/>
      <c r="D41" s="21"/>
      <c r="E41" s="21"/>
      <c r="F41" s="21"/>
      <c r="G41" s="21"/>
      <c r="H41" s="21"/>
      <c r="I41" s="21"/>
      <c r="J41" s="21" t="s">
        <v>23</v>
      </c>
      <c r="K41" s="21"/>
      <c r="L41" s="21"/>
      <c r="M41" s="50"/>
    </row>
    <row r="42" spans="2:13" ht="15">
      <c r="B42" s="49"/>
      <c r="C42" s="21"/>
      <c r="D42" s="21"/>
      <c r="E42" s="21"/>
      <c r="F42" s="21"/>
      <c r="G42" s="21"/>
      <c r="H42" s="21"/>
      <c r="I42" s="21"/>
      <c r="J42" s="21"/>
      <c r="K42" s="21"/>
      <c r="L42" s="21"/>
      <c r="M42" s="50"/>
    </row>
    <row r="43" spans="2:13" ht="15">
      <c r="B43" s="52" t="s">
        <v>22</v>
      </c>
      <c r="C43" s="21"/>
      <c r="D43" s="21"/>
      <c r="E43" s="21"/>
      <c r="F43" s="21"/>
      <c r="G43" s="21"/>
      <c r="H43" s="21"/>
      <c r="I43" s="21"/>
      <c r="J43" s="21"/>
      <c r="K43" s="21"/>
      <c r="L43" s="21"/>
      <c r="M43" s="50"/>
    </row>
    <row r="44" spans="2:13" ht="18.75" thickBot="1">
      <c r="B44" s="49"/>
      <c r="C44" s="53"/>
      <c r="D44" s="53"/>
      <c r="E44" s="53"/>
      <c r="F44" s="21"/>
      <c r="G44" s="21"/>
      <c r="H44" s="21"/>
      <c r="I44" s="54"/>
      <c r="J44" s="102" t="s">
        <v>216</v>
      </c>
      <c r="K44" s="54"/>
      <c r="L44" s="54"/>
      <c r="M44" s="50"/>
    </row>
    <row r="45" spans="2:13" ht="18">
      <c r="B45" s="49"/>
      <c r="C45" s="463" t="s">
        <v>21</v>
      </c>
      <c r="D45" s="463"/>
      <c r="E45" s="463"/>
      <c r="F45" s="55"/>
      <c r="G45" s="55"/>
      <c r="H45" s="21"/>
      <c r="I45" s="56"/>
      <c r="J45" s="103" t="s">
        <v>91</v>
      </c>
      <c r="K45" s="56"/>
      <c r="L45" s="56"/>
      <c r="M45" s="50"/>
    </row>
    <row r="46" spans="2:13" ht="18">
      <c r="B46" s="49"/>
      <c r="C46" s="55"/>
      <c r="D46" s="55"/>
      <c r="E46" s="55"/>
      <c r="F46" s="55"/>
      <c r="G46" s="55"/>
      <c r="H46" s="21"/>
      <c r="I46" s="56"/>
      <c r="J46" s="103"/>
      <c r="K46" s="56"/>
      <c r="L46" s="56"/>
      <c r="M46" s="50"/>
    </row>
    <row r="47" spans="2:13" ht="18.75" thickBot="1">
      <c r="B47" s="49"/>
      <c r="C47" s="53"/>
      <c r="D47" s="53"/>
      <c r="E47" s="53"/>
      <c r="F47" s="21"/>
      <c r="G47" s="21"/>
      <c r="H47" s="21"/>
      <c r="I47" s="21"/>
      <c r="J47" s="103"/>
      <c r="K47" s="21"/>
      <c r="L47" s="21"/>
      <c r="M47" s="50"/>
    </row>
    <row r="48" spans="2:13" ht="15">
      <c r="B48" s="57"/>
      <c r="C48" s="464" t="s">
        <v>1</v>
      </c>
      <c r="D48" s="464"/>
      <c r="E48" s="464"/>
      <c r="F48" s="58"/>
      <c r="G48" s="58"/>
      <c r="H48" s="59"/>
      <c r="I48" s="59"/>
      <c r="J48" s="59"/>
      <c r="K48" s="59"/>
      <c r="L48" s="59"/>
      <c r="M48" s="50"/>
    </row>
    <row r="49" spans="2:13" ht="18.75" thickBot="1">
      <c r="B49" s="97" t="s">
        <v>24</v>
      </c>
      <c r="C49" s="98"/>
      <c r="D49" s="98"/>
      <c r="E49" s="98"/>
      <c r="F49" s="98"/>
      <c r="G49" s="98"/>
      <c r="H49" s="98"/>
      <c r="I49" s="98" t="s">
        <v>25</v>
      </c>
      <c r="J49" s="53"/>
      <c r="K49" s="53"/>
      <c r="L49" s="53"/>
      <c r="M49" s="60"/>
    </row>
    <row r="50" spans="2:13" ht="18.75" thickBot="1">
      <c r="B50" s="97"/>
      <c r="C50" s="98"/>
      <c r="D50" s="98"/>
      <c r="E50" s="98"/>
      <c r="F50" s="98"/>
      <c r="G50" s="98"/>
      <c r="H50" s="98"/>
      <c r="I50" s="98"/>
      <c r="J50" s="53"/>
      <c r="K50" s="53"/>
      <c r="L50" s="53"/>
      <c r="M50" s="61"/>
    </row>
    <row r="51" spans="2:13" ht="18.75" thickBot="1">
      <c r="B51" s="99"/>
      <c r="C51" s="465" t="s">
        <v>73</v>
      </c>
      <c r="D51" s="465"/>
      <c r="E51" s="465"/>
      <c r="F51" s="100"/>
      <c r="G51" s="100"/>
      <c r="H51" s="98"/>
      <c r="I51" s="98" t="s">
        <v>26</v>
      </c>
      <c r="J51" s="53"/>
      <c r="K51" s="53"/>
      <c r="L51" s="53"/>
      <c r="M51" s="61"/>
    </row>
    <row r="52" spans="2:13" ht="18.75" thickBot="1">
      <c r="B52" s="476" t="s">
        <v>206</v>
      </c>
      <c r="C52" s="477"/>
      <c r="D52" s="477"/>
      <c r="E52" s="477"/>
      <c r="F52" s="477"/>
      <c r="G52" s="477"/>
      <c r="H52" s="101"/>
      <c r="I52" s="101"/>
      <c r="J52" s="53"/>
      <c r="K52" s="53"/>
      <c r="L52" s="53"/>
      <c r="M52" s="61"/>
    </row>
  </sheetData>
  <mergeCells count="46">
    <mergeCell ref="L2:M4"/>
    <mergeCell ref="J6:K7"/>
    <mergeCell ref="L6:M7"/>
    <mergeCell ref="J5:K5"/>
    <mergeCell ref="L5:M5"/>
    <mergeCell ref="J2:K4"/>
    <mergeCell ref="C48:E48"/>
    <mergeCell ref="K37:L37"/>
    <mergeCell ref="D23:J23"/>
    <mergeCell ref="D16:J16"/>
    <mergeCell ref="D17:J17"/>
    <mergeCell ref="D19:J19"/>
    <mergeCell ref="D20:J20"/>
    <mergeCell ref="D21:J21"/>
    <mergeCell ref="D36:J36"/>
    <mergeCell ref="B52:G52"/>
    <mergeCell ref="D35:E35"/>
    <mergeCell ref="K14:M14"/>
    <mergeCell ref="I15:J15"/>
    <mergeCell ref="K15:M15"/>
    <mergeCell ref="C51:E51"/>
    <mergeCell ref="D24:J24"/>
    <mergeCell ref="D25:J25"/>
    <mergeCell ref="D31:J31"/>
    <mergeCell ref="D32:J32"/>
    <mergeCell ref="D34:J34"/>
    <mergeCell ref="D28:J28"/>
    <mergeCell ref="D29:J29"/>
    <mergeCell ref="D27:J27"/>
    <mergeCell ref="B38:M38"/>
    <mergeCell ref="C45:E45"/>
    <mergeCell ref="B2:B5"/>
    <mergeCell ref="C4:I5"/>
    <mergeCell ref="B9:B10"/>
    <mergeCell ref="C9:I10"/>
    <mergeCell ref="C2:I3"/>
    <mergeCell ref="C6:I6"/>
    <mergeCell ref="B12:M12"/>
    <mergeCell ref="J8:K10"/>
    <mergeCell ref="L8:M10"/>
    <mergeCell ref="B13:M13"/>
    <mergeCell ref="B14:B15"/>
    <mergeCell ref="C14:H15"/>
    <mergeCell ref="I14:J14"/>
    <mergeCell ref="B7:B8"/>
    <mergeCell ref="C7:I8"/>
  </mergeCells>
  <printOptions horizontalCentered="1"/>
  <pageMargins left="0.25" right="0.25" top="0.25" bottom="0" header="0" footer="0"/>
  <pageSetup paperSize="9" scale="55"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F3959-AC80-4F0E-B60D-D4B836F4E5B9}">
  <sheetPr codeName="Sheet5">
    <tabColor rgb="FFC00000"/>
    <pageSetUpPr fitToPage="1"/>
  </sheetPr>
  <dimension ref="B1:M63"/>
  <sheetViews>
    <sheetView view="pageBreakPreview" topLeftCell="A37" zoomScale="69" zoomScaleNormal="100" zoomScaleSheetLayoutView="69" workbookViewId="0">
      <selection activeCell="E41" sqref="E41"/>
    </sheetView>
  </sheetViews>
  <sheetFormatPr defaultColWidth="9.140625" defaultRowHeight="14.25"/>
  <cols>
    <col min="1" max="1" width="15.42578125" style="1" customWidth="1"/>
    <col min="2" max="2" width="16.140625" style="2" customWidth="1"/>
    <col min="3" max="3" width="9.5703125" style="1" customWidth="1"/>
    <col min="4" max="4" width="13.5703125" style="1" customWidth="1"/>
    <col min="5" max="5" width="21.140625" style="1" customWidth="1"/>
    <col min="6" max="6" width="24.7109375" style="1" customWidth="1"/>
    <col min="7" max="7" width="12.28515625" style="1" customWidth="1"/>
    <col min="8" max="8" width="16.7109375" style="1" customWidth="1"/>
    <col min="9" max="9" width="17" style="1" customWidth="1"/>
    <col min="10" max="10" width="27.85546875" style="1" customWidth="1"/>
    <col min="11" max="11" width="11.7109375" style="1" customWidth="1"/>
    <col min="12" max="12" width="14.140625" style="1" customWidth="1"/>
    <col min="13" max="13" width="20.5703125" style="1" customWidth="1"/>
    <col min="14" max="16384" width="9.140625" style="1"/>
  </cols>
  <sheetData>
    <row r="1" spans="2:13" ht="15" thickBot="1">
      <c r="B1" s="1"/>
    </row>
    <row r="2" spans="2:13" ht="25.5" customHeight="1">
      <c r="B2" s="307"/>
      <c r="C2" s="412" t="s">
        <v>0</v>
      </c>
      <c r="D2" s="413"/>
      <c r="E2" s="413"/>
      <c r="F2" s="413"/>
      <c r="G2" s="413"/>
      <c r="H2" s="413"/>
      <c r="I2" s="414"/>
      <c r="J2" s="316" t="s">
        <v>181</v>
      </c>
      <c r="K2" s="317"/>
      <c r="L2" s="322" t="s">
        <v>163</v>
      </c>
      <c r="M2" s="323"/>
    </row>
    <row r="3" spans="2:13" ht="14.25" customHeight="1">
      <c r="B3" s="308"/>
      <c r="C3" s="415"/>
      <c r="D3" s="416"/>
      <c r="E3" s="416"/>
      <c r="F3" s="416"/>
      <c r="G3" s="416"/>
      <c r="H3" s="416"/>
      <c r="I3" s="417"/>
      <c r="J3" s="318"/>
      <c r="K3" s="319"/>
      <c r="L3" s="324"/>
      <c r="M3" s="325"/>
    </row>
    <row r="4" spans="2:13" ht="24.75" customHeight="1">
      <c r="B4" s="308"/>
      <c r="C4" s="328" t="s">
        <v>27</v>
      </c>
      <c r="D4" s="329"/>
      <c r="E4" s="329"/>
      <c r="F4" s="329"/>
      <c r="G4" s="329"/>
      <c r="H4" s="329"/>
      <c r="I4" s="330"/>
      <c r="J4" s="320"/>
      <c r="K4" s="321"/>
      <c r="L4" s="326"/>
      <c r="M4" s="327"/>
    </row>
    <row r="5" spans="2:13" ht="30" customHeight="1">
      <c r="B5" s="309"/>
      <c r="C5" s="331"/>
      <c r="D5" s="332"/>
      <c r="E5" s="332"/>
      <c r="F5" s="332"/>
      <c r="G5" s="332"/>
      <c r="H5" s="332"/>
      <c r="I5" s="333"/>
      <c r="J5" s="334" t="s">
        <v>1</v>
      </c>
      <c r="K5" s="335"/>
      <c r="L5" s="336" t="s">
        <v>182</v>
      </c>
      <c r="M5" s="337"/>
    </row>
    <row r="6" spans="2:13" ht="18" customHeight="1">
      <c r="B6" s="91" t="s">
        <v>3</v>
      </c>
      <c r="C6" s="273" t="s">
        <v>179</v>
      </c>
      <c r="D6" s="274"/>
      <c r="E6" s="274"/>
      <c r="F6" s="274"/>
      <c r="G6" s="274"/>
      <c r="H6" s="274"/>
      <c r="I6" s="275"/>
      <c r="J6" s="276" t="s">
        <v>4</v>
      </c>
      <c r="K6" s="277"/>
      <c r="L6" s="280" t="s">
        <v>43</v>
      </c>
      <c r="M6" s="281"/>
    </row>
    <row r="7" spans="2:13" ht="24.75" customHeight="1">
      <c r="B7" s="411" t="s">
        <v>2</v>
      </c>
      <c r="C7" s="551" t="s">
        <v>180</v>
      </c>
      <c r="D7" s="551"/>
      <c r="E7" s="551"/>
      <c r="F7" s="551"/>
      <c r="G7" s="551"/>
      <c r="H7" s="551"/>
      <c r="I7" s="551"/>
      <c r="J7" s="278"/>
      <c r="K7" s="279"/>
      <c r="L7" s="282"/>
      <c r="M7" s="283"/>
    </row>
    <row r="8" spans="2:13" ht="15" customHeight="1">
      <c r="B8" s="411"/>
      <c r="C8" s="551"/>
      <c r="D8" s="551"/>
      <c r="E8" s="551"/>
      <c r="F8" s="551"/>
      <c r="G8" s="551"/>
      <c r="H8" s="551"/>
      <c r="I8" s="551"/>
      <c r="J8" s="276" t="s">
        <v>5</v>
      </c>
      <c r="K8" s="277"/>
      <c r="L8" s="291" t="s">
        <v>92</v>
      </c>
      <c r="M8" s="292"/>
    </row>
    <row r="9" spans="2:13" ht="21.75" customHeight="1">
      <c r="B9" s="297" t="s">
        <v>80</v>
      </c>
      <c r="C9" s="552">
        <v>9489145455</v>
      </c>
      <c r="D9" s="553"/>
      <c r="E9" s="553"/>
      <c r="F9" s="553"/>
      <c r="G9" s="553"/>
      <c r="H9" s="553"/>
      <c r="I9" s="554"/>
      <c r="J9" s="287"/>
      <c r="K9" s="288"/>
      <c r="L9" s="293"/>
      <c r="M9" s="294"/>
    </row>
    <row r="10" spans="2:13" ht="49.5" customHeight="1" thickBot="1">
      <c r="B10" s="298"/>
      <c r="C10" s="555"/>
      <c r="D10" s="556"/>
      <c r="E10" s="556"/>
      <c r="F10" s="556"/>
      <c r="G10" s="556"/>
      <c r="H10" s="556"/>
      <c r="I10" s="557"/>
      <c r="J10" s="289"/>
      <c r="K10" s="290"/>
      <c r="L10" s="295"/>
      <c r="M10" s="296"/>
    </row>
    <row r="11" spans="2:13" ht="3" customHeight="1" thickBot="1">
      <c r="B11" s="4"/>
      <c r="C11" s="5"/>
      <c r="D11" s="5"/>
      <c r="E11" s="5"/>
      <c r="F11" s="5"/>
      <c r="G11" s="5"/>
      <c r="H11" s="5"/>
      <c r="I11" s="5"/>
      <c r="J11" s="5"/>
      <c r="K11" s="5"/>
      <c r="L11" s="6"/>
      <c r="M11" s="7"/>
    </row>
    <row r="12" spans="2:13">
      <c r="B12" s="338" t="s">
        <v>7</v>
      </c>
      <c r="C12" s="339"/>
      <c r="D12" s="339"/>
      <c r="E12" s="339"/>
      <c r="F12" s="339"/>
      <c r="G12" s="339"/>
      <c r="H12" s="339"/>
      <c r="I12" s="339"/>
      <c r="J12" s="339"/>
      <c r="K12" s="339"/>
      <c r="L12" s="339"/>
      <c r="M12" s="340"/>
    </row>
    <row r="13" spans="2:13" ht="15.75">
      <c r="B13" s="341" t="s">
        <v>8</v>
      </c>
      <c r="C13" s="342"/>
      <c r="D13" s="342"/>
      <c r="E13" s="342"/>
      <c r="F13" s="342"/>
      <c r="G13" s="342"/>
      <c r="H13" s="342"/>
      <c r="I13" s="342"/>
      <c r="J13" s="342"/>
      <c r="K13" s="342"/>
      <c r="L13" s="342"/>
      <c r="M13" s="343"/>
    </row>
    <row r="14" spans="2:13" ht="54.75" customHeight="1">
      <c r="B14" s="430" t="s">
        <v>9</v>
      </c>
      <c r="C14" s="280" t="s">
        <v>71</v>
      </c>
      <c r="D14" s="346"/>
      <c r="E14" s="346"/>
      <c r="F14" s="346"/>
      <c r="G14" s="346"/>
      <c r="H14" s="347"/>
      <c r="I14" s="432" t="s">
        <v>10</v>
      </c>
      <c r="J14" s="433"/>
      <c r="K14" s="539" t="s">
        <v>220</v>
      </c>
      <c r="L14" s="540"/>
      <c r="M14" s="541"/>
    </row>
    <row r="15" spans="2:13" ht="39.75" customHeight="1">
      <c r="B15" s="431"/>
      <c r="C15" s="282"/>
      <c r="D15" s="348"/>
      <c r="E15" s="348"/>
      <c r="F15" s="348"/>
      <c r="G15" s="348"/>
      <c r="H15" s="349"/>
      <c r="I15" s="432" t="s">
        <v>11</v>
      </c>
      <c r="J15" s="433"/>
      <c r="K15" s="437" t="s">
        <v>221</v>
      </c>
      <c r="L15" s="438"/>
      <c r="M15" s="439"/>
    </row>
    <row r="16" spans="2:13">
      <c r="B16" s="69" t="s">
        <v>12</v>
      </c>
      <c r="C16" s="70" t="s">
        <v>13</v>
      </c>
      <c r="D16" s="440" t="s">
        <v>14</v>
      </c>
      <c r="E16" s="441"/>
      <c r="F16" s="441"/>
      <c r="G16" s="441"/>
      <c r="H16" s="441"/>
      <c r="I16" s="441"/>
      <c r="J16" s="442"/>
      <c r="K16" s="72" t="s">
        <v>15</v>
      </c>
      <c r="L16" s="71" t="s">
        <v>16</v>
      </c>
      <c r="M16" s="73" t="s">
        <v>17</v>
      </c>
    </row>
    <row r="17" spans="2:13" ht="14.25" customHeight="1">
      <c r="B17" s="18"/>
      <c r="C17" s="83"/>
      <c r="D17" s="558" t="s">
        <v>150</v>
      </c>
      <c r="E17" s="366"/>
      <c r="F17" s="366"/>
      <c r="G17" s="366"/>
      <c r="H17" s="366"/>
      <c r="I17" s="366"/>
      <c r="J17" s="367"/>
      <c r="K17" s="218"/>
      <c r="L17" s="9"/>
      <c r="M17" s="13"/>
    </row>
    <row r="18" spans="2:13" ht="47.25" customHeight="1">
      <c r="B18" s="12"/>
      <c r="C18" s="17"/>
      <c r="D18" s="559"/>
      <c r="E18" s="368"/>
      <c r="F18" s="368"/>
      <c r="G18" s="368"/>
      <c r="H18" s="368"/>
      <c r="I18" s="368"/>
      <c r="J18" s="368"/>
      <c r="K18" s="219"/>
      <c r="L18" s="221"/>
      <c r="M18" s="11"/>
    </row>
    <row r="19" spans="2:13" ht="18">
      <c r="B19" s="12"/>
      <c r="C19" s="17"/>
      <c r="D19" s="62"/>
      <c r="E19" s="84"/>
      <c r="F19" s="84"/>
      <c r="G19" s="84"/>
      <c r="H19" s="84"/>
      <c r="I19" s="84"/>
      <c r="J19" s="84"/>
      <c r="K19" s="219"/>
      <c r="L19" s="221"/>
      <c r="M19" s="11"/>
    </row>
    <row r="20" spans="2:13" ht="79.5" customHeight="1">
      <c r="B20" s="12"/>
      <c r="C20" s="17"/>
      <c r="D20" s="454" t="s">
        <v>222</v>
      </c>
      <c r="E20" s="455"/>
      <c r="F20" s="455"/>
      <c r="G20" s="455"/>
      <c r="H20" s="455"/>
      <c r="I20" s="455"/>
      <c r="J20" s="456"/>
      <c r="K20" s="17"/>
      <c r="L20" s="222"/>
      <c r="M20" s="11"/>
    </row>
    <row r="21" spans="2:13" ht="20.25">
      <c r="B21" s="12"/>
      <c r="C21" s="17"/>
      <c r="D21" s="86"/>
      <c r="E21" s="74"/>
      <c r="F21" s="74"/>
      <c r="G21" s="74"/>
      <c r="H21" s="74"/>
      <c r="I21" s="74"/>
      <c r="J21" s="74"/>
      <c r="K21" s="17"/>
      <c r="L21" s="222"/>
      <c r="M21" s="11"/>
    </row>
    <row r="22" spans="2:13" ht="48" customHeight="1">
      <c r="B22" s="181" t="s">
        <v>218</v>
      </c>
      <c r="C22" s="17"/>
      <c r="D22" s="454" t="s">
        <v>151</v>
      </c>
      <c r="E22" s="455"/>
      <c r="F22" s="455"/>
      <c r="G22" s="455"/>
      <c r="H22" s="455"/>
      <c r="I22" s="455"/>
      <c r="J22" s="456"/>
      <c r="K22" s="17"/>
      <c r="L22" s="222"/>
      <c r="M22" s="130">
        <f>SUM(M26:M29)</f>
        <v>584080</v>
      </c>
    </row>
    <row r="23" spans="2:13" ht="26.25" customHeight="1">
      <c r="B23" s="181"/>
      <c r="C23" s="17"/>
      <c r="D23" s="155"/>
      <c r="E23" s="156"/>
      <c r="F23" s="156"/>
      <c r="G23" s="156"/>
      <c r="H23" s="156"/>
      <c r="I23" s="156"/>
      <c r="J23" s="157"/>
      <c r="K23" s="17"/>
      <c r="L23" s="222"/>
      <c r="M23" s="130"/>
    </row>
    <row r="24" spans="2:13" ht="21">
      <c r="B24" s="12"/>
      <c r="C24" s="14"/>
      <c r="D24" s="88" t="s">
        <v>201</v>
      </c>
      <c r="E24" s="89"/>
      <c r="F24" s="89"/>
      <c r="G24" s="89"/>
      <c r="H24" s="89"/>
      <c r="I24" s="89"/>
      <c r="J24" s="95"/>
      <c r="K24" s="14"/>
      <c r="L24" s="8"/>
      <c r="M24" s="11"/>
    </row>
    <row r="25" spans="2:13" ht="40.5">
      <c r="B25" s="12"/>
      <c r="C25" s="14"/>
      <c r="D25" s="81" t="s">
        <v>29</v>
      </c>
      <c r="E25" s="81" t="s">
        <v>34</v>
      </c>
      <c r="F25" s="81" t="s">
        <v>33</v>
      </c>
      <c r="G25" s="448" t="s">
        <v>30</v>
      </c>
      <c r="H25" s="448"/>
      <c r="I25" s="448"/>
      <c r="J25" s="81" t="s">
        <v>84</v>
      </c>
      <c r="K25" s="14"/>
      <c r="L25" s="8"/>
      <c r="M25" s="11"/>
    </row>
    <row r="26" spans="2:13" ht="200.25" customHeight="1">
      <c r="B26" s="12"/>
      <c r="C26" s="128" t="s">
        <v>35</v>
      </c>
      <c r="D26" s="82">
        <v>112</v>
      </c>
      <c r="E26" s="82" t="s">
        <v>155</v>
      </c>
      <c r="F26" s="82" t="s">
        <v>83</v>
      </c>
      <c r="G26" s="453" t="s">
        <v>152</v>
      </c>
      <c r="H26" s="453"/>
      <c r="I26" s="453"/>
      <c r="J26" s="460" t="s">
        <v>131</v>
      </c>
      <c r="K26" s="128">
        <f t="shared" ref="K26" si="0">D26</f>
        <v>112</v>
      </c>
      <c r="L26" s="223">
        <v>200</v>
      </c>
      <c r="M26" s="127">
        <f>K26*L26*7</f>
        <v>156800</v>
      </c>
    </row>
    <row r="27" spans="2:13" ht="151.5" customHeight="1">
      <c r="B27" s="12"/>
      <c r="C27" s="128" t="s">
        <v>35</v>
      </c>
      <c r="D27" s="82">
        <v>112</v>
      </c>
      <c r="E27" s="82" t="s">
        <v>156</v>
      </c>
      <c r="F27" s="82" t="s">
        <v>83</v>
      </c>
      <c r="G27" s="453" t="s">
        <v>153</v>
      </c>
      <c r="H27" s="453"/>
      <c r="I27" s="453"/>
      <c r="J27" s="460"/>
      <c r="K27" s="128">
        <f t="shared" ref="K27:K29" si="1">D27</f>
        <v>112</v>
      </c>
      <c r="L27" s="223">
        <v>200</v>
      </c>
      <c r="M27" s="127">
        <f>K27*L27*7</f>
        <v>156800</v>
      </c>
    </row>
    <row r="28" spans="2:13" ht="67.5" customHeight="1">
      <c r="B28" s="12"/>
      <c r="C28" s="128" t="s">
        <v>35</v>
      </c>
      <c r="D28" s="82">
        <v>112</v>
      </c>
      <c r="E28" s="82" t="s">
        <v>157</v>
      </c>
      <c r="F28" s="82" t="s">
        <v>83</v>
      </c>
      <c r="G28" s="449" t="s">
        <v>154</v>
      </c>
      <c r="H28" s="449"/>
      <c r="I28" s="449"/>
      <c r="J28" s="460"/>
      <c r="K28" s="128">
        <f t="shared" si="1"/>
        <v>112</v>
      </c>
      <c r="L28" s="223">
        <v>145</v>
      </c>
      <c r="M28" s="127">
        <f>K28*L28*7</f>
        <v>113680</v>
      </c>
    </row>
    <row r="29" spans="2:13" ht="152.25" customHeight="1">
      <c r="B29" s="12"/>
      <c r="C29" s="128" t="s">
        <v>35</v>
      </c>
      <c r="D29" s="82">
        <v>112</v>
      </c>
      <c r="E29" s="82" t="s">
        <v>158</v>
      </c>
      <c r="F29" s="82" t="s">
        <v>83</v>
      </c>
      <c r="G29" s="453" t="s">
        <v>153</v>
      </c>
      <c r="H29" s="453"/>
      <c r="I29" s="453"/>
      <c r="J29" s="460"/>
      <c r="K29" s="128">
        <f t="shared" si="1"/>
        <v>112</v>
      </c>
      <c r="L29" s="223">
        <v>200</v>
      </c>
      <c r="M29" s="127">
        <f>K29*L29*7</f>
        <v>156800</v>
      </c>
    </row>
    <row r="30" spans="2:13" ht="27" customHeight="1">
      <c r="B30" s="12"/>
      <c r="C30" s="128"/>
      <c r="D30" s="158"/>
      <c r="E30" s="159"/>
      <c r="F30" s="159"/>
      <c r="G30" s="160"/>
      <c r="H30" s="160"/>
      <c r="I30" s="160"/>
      <c r="J30" s="161"/>
      <c r="K30" s="128"/>
      <c r="L30" s="223"/>
      <c r="M30" s="127"/>
    </row>
    <row r="31" spans="2:13" ht="47.25" customHeight="1">
      <c r="B31" s="181" t="s">
        <v>219</v>
      </c>
      <c r="C31" s="17"/>
      <c r="D31" s="454" t="s">
        <v>159</v>
      </c>
      <c r="E31" s="455"/>
      <c r="F31" s="455"/>
      <c r="G31" s="455"/>
      <c r="H31" s="455"/>
      <c r="I31" s="455"/>
      <c r="J31" s="456"/>
      <c r="K31" s="17"/>
      <c r="L31" s="222"/>
      <c r="M31" s="130">
        <f>SUM(M34:M37)</f>
        <v>53600</v>
      </c>
    </row>
    <row r="32" spans="2:13" ht="27.75" customHeight="1">
      <c r="B32" s="12"/>
      <c r="C32" s="14"/>
      <c r="D32" s="88" t="s">
        <v>37</v>
      </c>
      <c r="E32" s="89"/>
      <c r="F32" s="89"/>
      <c r="G32" s="89"/>
      <c r="H32" s="89"/>
      <c r="I32" s="89"/>
      <c r="J32" s="95"/>
      <c r="K32" s="14"/>
      <c r="L32" s="8"/>
      <c r="M32" s="11"/>
    </row>
    <row r="33" spans="2:13" ht="54" customHeight="1">
      <c r="B33" s="12"/>
      <c r="C33" s="14"/>
      <c r="D33" s="81" t="s">
        <v>29</v>
      </c>
      <c r="E33" s="81" t="s">
        <v>34</v>
      </c>
      <c r="F33" s="81" t="s">
        <v>33</v>
      </c>
      <c r="G33" s="448" t="s">
        <v>30</v>
      </c>
      <c r="H33" s="448"/>
      <c r="I33" s="448"/>
      <c r="J33" s="81" t="s">
        <v>84</v>
      </c>
      <c r="K33" s="14"/>
      <c r="L33" s="8"/>
      <c r="M33" s="11"/>
    </row>
    <row r="34" spans="2:13" ht="187.5" customHeight="1">
      <c r="B34" s="12"/>
      <c r="C34" s="128" t="s">
        <v>35</v>
      </c>
      <c r="D34" s="82">
        <v>25</v>
      </c>
      <c r="E34" s="82" t="s">
        <v>162</v>
      </c>
      <c r="F34" s="82" t="s">
        <v>83</v>
      </c>
      <c r="G34" s="453" t="s">
        <v>152</v>
      </c>
      <c r="H34" s="453"/>
      <c r="I34" s="453"/>
      <c r="J34" s="460" t="s">
        <v>131</v>
      </c>
      <c r="K34" s="128">
        <f t="shared" ref="K34:K37" si="2">D34</f>
        <v>25</v>
      </c>
      <c r="L34" s="223">
        <v>200</v>
      </c>
      <c r="M34" s="127">
        <f>K34*L34*2</f>
        <v>10000</v>
      </c>
    </row>
    <row r="35" spans="2:13" ht="149.25" customHeight="1">
      <c r="B35" s="12"/>
      <c r="C35" s="128" t="s">
        <v>35</v>
      </c>
      <c r="D35" s="82">
        <v>40</v>
      </c>
      <c r="E35" s="82" t="s">
        <v>160</v>
      </c>
      <c r="F35" s="82" t="s">
        <v>83</v>
      </c>
      <c r="G35" s="453" t="s">
        <v>153</v>
      </c>
      <c r="H35" s="453"/>
      <c r="I35" s="453"/>
      <c r="J35" s="460"/>
      <c r="K35" s="128">
        <f t="shared" si="2"/>
        <v>40</v>
      </c>
      <c r="L35" s="223">
        <v>200</v>
      </c>
      <c r="M35" s="127">
        <f>K35*L35*2</f>
        <v>16000</v>
      </c>
    </row>
    <row r="36" spans="2:13" ht="71.25" customHeight="1">
      <c r="B36" s="12"/>
      <c r="C36" s="128" t="s">
        <v>35</v>
      </c>
      <c r="D36" s="82">
        <v>40</v>
      </c>
      <c r="E36" s="82" t="s">
        <v>195</v>
      </c>
      <c r="F36" s="82" t="s">
        <v>83</v>
      </c>
      <c r="G36" s="449" t="s">
        <v>154</v>
      </c>
      <c r="H36" s="449"/>
      <c r="I36" s="449"/>
      <c r="J36" s="460"/>
      <c r="K36" s="128">
        <f t="shared" ref="K36" si="3">D36</f>
        <v>40</v>
      </c>
      <c r="L36" s="223">
        <v>145</v>
      </c>
      <c r="M36" s="127">
        <f>K36*L36*2</f>
        <v>11600</v>
      </c>
    </row>
    <row r="37" spans="2:13" ht="144" customHeight="1">
      <c r="B37" s="12"/>
      <c r="C37" s="128" t="s">
        <v>35</v>
      </c>
      <c r="D37" s="82">
        <v>40</v>
      </c>
      <c r="E37" s="82" t="s">
        <v>161</v>
      </c>
      <c r="F37" s="82" t="s">
        <v>83</v>
      </c>
      <c r="G37" s="453" t="s">
        <v>153</v>
      </c>
      <c r="H37" s="453"/>
      <c r="I37" s="453"/>
      <c r="J37" s="460"/>
      <c r="K37" s="128">
        <f t="shared" si="2"/>
        <v>40</v>
      </c>
      <c r="L37" s="223">
        <v>200</v>
      </c>
      <c r="M37" s="127">
        <f>K37*L37*2</f>
        <v>16000</v>
      </c>
    </row>
    <row r="38" spans="2:13" ht="24.75" customHeight="1">
      <c r="B38" s="12"/>
      <c r="C38" s="128"/>
      <c r="D38" s="146"/>
      <c r="E38" s="186"/>
      <c r="F38" s="186"/>
      <c r="G38" s="187"/>
      <c r="H38" s="187"/>
      <c r="I38" s="187"/>
      <c r="J38" s="188"/>
      <c r="K38" s="128"/>
      <c r="L38" s="223"/>
      <c r="M38" s="127"/>
    </row>
    <row r="39" spans="2:13" ht="20.25">
      <c r="B39" s="3"/>
      <c r="C39" s="14"/>
      <c r="D39" s="85" t="s">
        <v>82</v>
      </c>
      <c r="E39" s="74"/>
      <c r="F39" s="74"/>
      <c r="G39" s="74"/>
      <c r="H39" s="74"/>
      <c r="I39" s="74"/>
      <c r="J39" s="189"/>
      <c r="K39" s="14"/>
      <c r="L39" s="8"/>
      <c r="M39" s="11"/>
    </row>
    <row r="40" spans="2:13" ht="18" customHeight="1">
      <c r="B40" s="3"/>
      <c r="C40" s="78"/>
      <c r="D40" s="87" t="s">
        <v>88</v>
      </c>
      <c r="E40" s="75"/>
      <c r="F40" s="76"/>
      <c r="G40" s="75"/>
      <c r="H40" s="75"/>
      <c r="I40" s="76"/>
      <c r="J40" s="190"/>
      <c r="K40" s="220"/>
      <c r="L40" s="224"/>
      <c r="M40" s="79"/>
    </row>
    <row r="41" spans="2:13" ht="20.25">
      <c r="B41" s="3"/>
      <c r="C41" s="78"/>
      <c r="D41" s="87" t="s">
        <v>89</v>
      </c>
      <c r="E41" s="75"/>
      <c r="F41" s="76"/>
      <c r="G41" s="75"/>
      <c r="H41" s="75"/>
      <c r="I41" s="76"/>
      <c r="J41" s="190"/>
      <c r="K41" s="220"/>
      <c r="L41" s="224"/>
      <c r="M41" s="79"/>
    </row>
    <row r="42" spans="2:13" ht="45" customHeight="1">
      <c r="B42" s="3"/>
      <c r="C42" s="14"/>
      <c r="D42" s="469" t="s">
        <v>90</v>
      </c>
      <c r="E42" s="470"/>
      <c r="F42" s="470"/>
      <c r="G42" s="470"/>
      <c r="H42" s="470"/>
      <c r="I42" s="470"/>
      <c r="J42" s="471"/>
      <c r="K42" s="14"/>
      <c r="L42" s="8"/>
      <c r="M42" s="11"/>
    </row>
    <row r="43" spans="2:13" ht="20.25" customHeight="1">
      <c r="B43" s="140"/>
      <c r="C43" s="14"/>
      <c r="D43" s="131"/>
      <c r="E43" s="132"/>
      <c r="F43" s="132"/>
      <c r="G43" s="132"/>
      <c r="H43" s="132"/>
      <c r="I43" s="132"/>
      <c r="J43" s="138"/>
      <c r="K43" s="14"/>
      <c r="L43" s="8"/>
      <c r="M43" s="11"/>
    </row>
    <row r="44" spans="2:13" ht="27.75" customHeight="1">
      <c r="B44" s="140"/>
      <c r="C44" s="14"/>
      <c r="D44" s="361" t="s">
        <v>39</v>
      </c>
      <c r="E44" s="362"/>
      <c r="F44" s="362"/>
      <c r="G44" s="362"/>
      <c r="H44" s="362"/>
      <c r="I44" s="362"/>
      <c r="J44" s="382"/>
      <c r="K44" s="14"/>
      <c r="L44" s="8"/>
      <c r="M44" s="11"/>
    </row>
    <row r="45" spans="2:13" ht="27.75" customHeight="1">
      <c r="B45" s="140"/>
      <c r="C45" s="14"/>
      <c r="D45" s="472" t="s">
        <v>94</v>
      </c>
      <c r="E45" s="383"/>
      <c r="F45" s="383"/>
      <c r="G45" s="383"/>
      <c r="H45" s="383"/>
      <c r="I45" s="383"/>
      <c r="J45" s="384"/>
      <c r="K45" s="14"/>
      <c r="L45" s="8"/>
      <c r="M45" s="11"/>
    </row>
    <row r="46" spans="2:13" ht="27.75" customHeight="1">
      <c r="B46" s="140"/>
      <c r="C46" s="14"/>
      <c r="D46" s="472" t="s">
        <v>142</v>
      </c>
      <c r="E46" s="383"/>
      <c r="F46" s="383"/>
      <c r="G46" s="383"/>
      <c r="H46" s="383"/>
      <c r="I46" s="383"/>
      <c r="J46" s="384"/>
      <c r="K46" s="14"/>
      <c r="L46" s="8"/>
      <c r="M46" s="11"/>
    </row>
    <row r="47" spans="2:13" ht="27.75" customHeight="1">
      <c r="B47" s="140"/>
      <c r="C47" s="14"/>
      <c r="D47" s="356" t="s">
        <v>32</v>
      </c>
      <c r="E47" s="549"/>
      <c r="F47" s="549"/>
      <c r="G47" s="549"/>
      <c r="H47" s="549"/>
      <c r="I47" s="549"/>
      <c r="J47" s="550"/>
      <c r="K47" s="14"/>
      <c r="L47" s="192"/>
      <c r="M47" s="11"/>
    </row>
    <row r="48" spans="2:13" ht="33" customHeight="1">
      <c r="B48" s="49"/>
      <c r="C48" s="51"/>
      <c r="D48" s="65"/>
      <c r="E48" s="66"/>
      <c r="F48" s="66"/>
      <c r="G48" s="66"/>
      <c r="H48" s="66"/>
      <c r="I48" s="66"/>
      <c r="J48" s="67"/>
      <c r="K48" s="461" t="s">
        <v>20</v>
      </c>
      <c r="L48" s="462"/>
      <c r="M48" s="139">
        <f>SUM(M31,M22)</f>
        <v>637680</v>
      </c>
    </row>
    <row r="49" spans="2:13" ht="29.25" customHeight="1">
      <c r="B49" s="402" t="s">
        <v>196</v>
      </c>
      <c r="C49" s="403"/>
      <c r="D49" s="403"/>
      <c r="E49" s="403"/>
      <c r="F49" s="403"/>
      <c r="G49" s="403"/>
      <c r="H49" s="403"/>
      <c r="I49" s="403"/>
      <c r="J49" s="403"/>
      <c r="K49" s="403"/>
      <c r="L49" s="403"/>
      <c r="M49" s="404"/>
    </row>
    <row r="50" spans="2:13" ht="15">
      <c r="B50" s="466" t="s">
        <v>185</v>
      </c>
      <c r="C50" s="467"/>
      <c r="D50" s="467"/>
      <c r="E50" s="467"/>
      <c r="F50" s="467"/>
      <c r="G50" s="467"/>
      <c r="H50" s="467"/>
      <c r="I50" s="467"/>
      <c r="J50" s="467"/>
      <c r="K50" s="467"/>
      <c r="L50" s="467"/>
      <c r="M50" s="468"/>
    </row>
    <row r="51" spans="2:13" ht="15">
      <c r="B51" s="49"/>
      <c r="C51" s="21"/>
      <c r="D51" s="21"/>
      <c r="E51" s="21"/>
      <c r="F51" s="21"/>
      <c r="G51" s="21"/>
      <c r="H51" s="21"/>
      <c r="I51" s="21"/>
      <c r="J51" s="21"/>
      <c r="K51" s="21"/>
      <c r="L51" s="21"/>
      <c r="M51" s="50"/>
    </row>
    <row r="52" spans="2:13" ht="15">
      <c r="B52" s="49"/>
      <c r="C52" s="21"/>
      <c r="D52" s="21"/>
      <c r="E52" s="21"/>
      <c r="F52" s="21"/>
      <c r="G52" s="21"/>
      <c r="H52" s="21"/>
      <c r="I52" s="21"/>
      <c r="J52" s="21" t="s">
        <v>23</v>
      </c>
      <c r="K52" s="21"/>
      <c r="L52" s="21"/>
      <c r="M52" s="50"/>
    </row>
    <row r="53" spans="2:13" ht="15">
      <c r="B53" s="49"/>
      <c r="C53" s="21"/>
      <c r="D53" s="21"/>
      <c r="E53" s="21"/>
      <c r="F53" s="21"/>
      <c r="G53" s="21"/>
      <c r="H53" s="21"/>
      <c r="I53" s="21"/>
      <c r="J53" s="21"/>
      <c r="K53" s="21"/>
      <c r="L53" s="21"/>
      <c r="M53" s="50"/>
    </row>
    <row r="54" spans="2:13" ht="49.5" customHeight="1">
      <c r="B54" s="125" t="s">
        <v>22</v>
      </c>
      <c r="C54" s="21"/>
      <c r="D54" s="21"/>
      <c r="E54" s="21"/>
      <c r="F54" s="21"/>
      <c r="G54" s="21"/>
      <c r="H54" s="21"/>
      <c r="I54" s="21"/>
      <c r="J54" s="21"/>
      <c r="K54" s="21"/>
      <c r="L54" s="21"/>
      <c r="M54" s="50"/>
    </row>
    <row r="55" spans="2:13" ht="18.75" thickBot="1">
      <c r="B55" s="49"/>
      <c r="C55" s="53"/>
      <c r="D55" s="53"/>
      <c r="E55" s="53"/>
      <c r="F55" s="21"/>
      <c r="G55" s="21"/>
      <c r="H55" s="21"/>
      <c r="I55" s="54"/>
      <c r="J55" s="102" t="s">
        <v>216</v>
      </c>
      <c r="K55" s="54"/>
      <c r="L55" s="54"/>
      <c r="M55" s="50"/>
    </row>
    <row r="56" spans="2:13" ht="18">
      <c r="B56" s="49"/>
      <c r="C56" s="463" t="s">
        <v>21</v>
      </c>
      <c r="D56" s="463"/>
      <c r="E56" s="463"/>
      <c r="F56" s="55"/>
      <c r="G56" s="55"/>
      <c r="H56" s="21"/>
      <c r="I56" s="56"/>
      <c r="J56" s="103" t="s">
        <v>91</v>
      </c>
      <c r="K56" s="56"/>
      <c r="L56" s="56"/>
      <c r="M56" s="50"/>
    </row>
    <row r="57" spans="2:13" ht="18">
      <c r="B57" s="49"/>
      <c r="C57" s="55"/>
      <c r="D57" s="55"/>
      <c r="E57" s="55"/>
      <c r="F57" s="55" t="s">
        <v>66</v>
      </c>
      <c r="G57" s="55"/>
      <c r="H57" s="21"/>
      <c r="I57" s="56"/>
      <c r="J57" s="103"/>
      <c r="K57" s="56"/>
      <c r="L57" s="56"/>
      <c r="M57" s="50"/>
    </row>
    <row r="58" spans="2:13" ht="15.75" thickBot="1">
      <c r="B58" s="49"/>
      <c r="C58" s="53"/>
      <c r="D58" s="53"/>
      <c r="E58" s="53"/>
      <c r="F58" s="21"/>
      <c r="G58" s="21"/>
      <c r="H58" s="21"/>
      <c r="I58" s="21"/>
      <c r="J58" s="21"/>
      <c r="K58" s="21"/>
      <c r="L58" s="21"/>
      <c r="M58" s="50"/>
    </row>
    <row r="59" spans="2:13" ht="15">
      <c r="B59" s="57"/>
      <c r="C59" s="464" t="s">
        <v>1</v>
      </c>
      <c r="D59" s="464"/>
      <c r="E59" s="464"/>
      <c r="F59" s="58"/>
      <c r="G59" s="58"/>
      <c r="H59" s="59"/>
      <c r="I59" s="59"/>
      <c r="J59" s="59"/>
      <c r="K59" s="59"/>
      <c r="L59" s="59"/>
      <c r="M59" s="50"/>
    </row>
    <row r="60" spans="2:13" ht="18.75" thickBot="1">
      <c r="B60" s="97" t="s">
        <v>24</v>
      </c>
      <c r="C60" s="98"/>
      <c r="D60" s="98"/>
      <c r="E60" s="98"/>
      <c r="F60" s="98"/>
      <c r="G60" s="98"/>
      <c r="H60" s="98"/>
      <c r="I60" s="98" t="s">
        <v>25</v>
      </c>
      <c r="J60" s="53"/>
      <c r="K60" s="53"/>
      <c r="L60" s="53"/>
      <c r="M60" s="60"/>
    </row>
    <row r="61" spans="2:13" ht="18.75" thickBot="1">
      <c r="B61" s="97"/>
      <c r="C61" s="98"/>
      <c r="D61" s="98"/>
      <c r="E61" s="98"/>
      <c r="F61" s="98"/>
      <c r="G61" s="98"/>
      <c r="H61" s="98"/>
      <c r="I61" s="98"/>
      <c r="J61" s="53"/>
      <c r="K61" s="53"/>
      <c r="L61" s="53"/>
      <c r="M61" s="61"/>
    </row>
    <row r="62" spans="2:13" ht="18.75" thickBot="1">
      <c r="B62" s="99"/>
      <c r="C62" s="465" t="s">
        <v>73</v>
      </c>
      <c r="D62" s="465"/>
      <c r="E62" s="465"/>
      <c r="F62" s="100"/>
      <c r="G62" s="100"/>
      <c r="H62" s="98"/>
      <c r="I62" s="98" t="s">
        <v>26</v>
      </c>
      <c r="J62" s="53"/>
      <c r="K62" s="53"/>
      <c r="L62" s="53"/>
      <c r="M62" s="61"/>
    </row>
    <row r="63" spans="2:13" ht="18.75" thickBot="1">
      <c r="B63" s="476" t="s">
        <v>206</v>
      </c>
      <c r="C63" s="477"/>
      <c r="D63" s="477"/>
      <c r="E63" s="477"/>
      <c r="F63" s="477"/>
      <c r="G63" s="477"/>
      <c r="H63" s="101"/>
      <c r="I63" s="101"/>
      <c r="J63" s="53"/>
      <c r="K63" s="53"/>
      <c r="L63" s="53"/>
      <c r="M63" s="61"/>
    </row>
  </sheetData>
  <mergeCells count="53">
    <mergeCell ref="C2:I3"/>
    <mergeCell ref="J2:K4"/>
    <mergeCell ref="L2:M4"/>
    <mergeCell ref="J6:K7"/>
    <mergeCell ref="L6:M7"/>
    <mergeCell ref="J5:K5"/>
    <mergeCell ref="L5:M5"/>
    <mergeCell ref="C6:I6"/>
    <mergeCell ref="C56:E56"/>
    <mergeCell ref="C59:E59"/>
    <mergeCell ref="C62:E62"/>
    <mergeCell ref="K48:L48"/>
    <mergeCell ref="D16:J16"/>
    <mergeCell ref="D17:J18"/>
    <mergeCell ref="D20:J20"/>
    <mergeCell ref="D22:J22"/>
    <mergeCell ref="G25:I25"/>
    <mergeCell ref="G26:I26"/>
    <mergeCell ref="G29:I29"/>
    <mergeCell ref="B50:M50"/>
    <mergeCell ref="G34:I34"/>
    <mergeCell ref="J34:J37"/>
    <mergeCell ref="G35:I35"/>
    <mergeCell ref="G37:I37"/>
    <mergeCell ref="J26:J29"/>
    <mergeCell ref="G27:I27"/>
    <mergeCell ref="K14:M14"/>
    <mergeCell ref="I15:J15"/>
    <mergeCell ref="K15:M15"/>
    <mergeCell ref="C14:H15"/>
    <mergeCell ref="B7:B8"/>
    <mergeCell ref="C7:I8"/>
    <mergeCell ref="B9:B10"/>
    <mergeCell ref="C9:I10"/>
    <mergeCell ref="B12:M12"/>
    <mergeCell ref="J8:K10"/>
    <mergeCell ref="L8:M10"/>
    <mergeCell ref="B2:B5"/>
    <mergeCell ref="C4:I5"/>
    <mergeCell ref="B63:G63"/>
    <mergeCell ref="D47:J47"/>
    <mergeCell ref="I14:J14"/>
    <mergeCell ref="G28:I28"/>
    <mergeCell ref="G36:I36"/>
    <mergeCell ref="D42:J42"/>
    <mergeCell ref="D44:J44"/>
    <mergeCell ref="D45:J45"/>
    <mergeCell ref="D46:J46"/>
    <mergeCell ref="B49:M49"/>
    <mergeCell ref="D31:J31"/>
    <mergeCell ref="G33:I33"/>
    <mergeCell ref="B13:M13"/>
    <mergeCell ref="B14:B15"/>
  </mergeCells>
  <printOptions horizontalCentered="1"/>
  <pageMargins left="0.2" right="0.2" top="0.25" bottom="0.25" header="0.3" footer="0.3"/>
  <pageSetup paperSize="9" scale="4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5BC42-A583-419A-907D-F97BF1B2E243}">
  <sheetPr codeName="Sheet6">
    <tabColor rgb="FFC00000"/>
    <pageSetUpPr fitToPage="1"/>
  </sheetPr>
  <dimension ref="B1:M64"/>
  <sheetViews>
    <sheetView view="pageBreakPreview" topLeftCell="A43" zoomScale="78" zoomScaleNormal="100" zoomScaleSheetLayoutView="78" workbookViewId="0">
      <selection activeCell="E41" sqref="E41"/>
    </sheetView>
  </sheetViews>
  <sheetFormatPr defaultColWidth="9.140625" defaultRowHeight="14.25"/>
  <cols>
    <col min="1" max="1" width="15.42578125" style="1" customWidth="1"/>
    <col min="2" max="2" width="16.140625" style="2" customWidth="1"/>
    <col min="3" max="3" width="9.5703125" style="1" customWidth="1"/>
    <col min="4" max="4" width="13.5703125" style="1" customWidth="1"/>
    <col min="5" max="5" width="21.140625" style="1" customWidth="1"/>
    <col min="6" max="6" width="24.7109375" style="1" customWidth="1"/>
    <col min="7" max="7" width="12.28515625" style="1" customWidth="1"/>
    <col min="8" max="8" width="16.7109375" style="1" customWidth="1"/>
    <col min="9" max="9" width="17" style="1" customWidth="1"/>
    <col min="10" max="10" width="27.85546875" style="1" customWidth="1"/>
    <col min="11" max="11" width="11.7109375" style="1" customWidth="1"/>
    <col min="12" max="12" width="13.42578125" style="1" customWidth="1"/>
    <col min="13" max="13" width="20.5703125" style="1" customWidth="1"/>
    <col min="14" max="16384" width="9.140625" style="1"/>
  </cols>
  <sheetData>
    <row r="1" spans="2:13" ht="15.75" thickBot="1">
      <c r="B1" s="21"/>
      <c r="C1" s="21"/>
      <c r="D1" s="21"/>
      <c r="E1" s="21"/>
      <c r="F1" s="21"/>
      <c r="G1" s="21"/>
      <c r="H1" s="21"/>
      <c r="I1" s="21"/>
      <c r="J1" s="21"/>
      <c r="K1" s="21"/>
      <c r="L1" s="21"/>
      <c r="M1" s="21"/>
    </row>
    <row r="2" spans="2:13" ht="14.25" customHeight="1">
      <c r="B2" s="507"/>
      <c r="C2" s="412" t="s">
        <v>0</v>
      </c>
      <c r="D2" s="413"/>
      <c r="E2" s="413"/>
      <c r="F2" s="413"/>
      <c r="G2" s="413"/>
      <c r="H2" s="413"/>
      <c r="I2" s="414"/>
      <c r="J2" s="316" t="s">
        <v>181</v>
      </c>
      <c r="K2" s="317"/>
      <c r="L2" s="322" t="s">
        <v>199</v>
      </c>
      <c r="M2" s="323"/>
    </row>
    <row r="3" spans="2:13" ht="14.25" customHeight="1">
      <c r="B3" s="508"/>
      <c r="C3" s="415"/>
      <c r="D3" s="416"/>
      <c r="E3" s="416"/>
      <c r="F3" s="416"/>
      <c r="G3" s="416"/>
      <c r="H3" s="416"/>
      <c r="I3" s="417"/>
      <c r="J3" s="318"/>
      <c r="K3" s="319"/>
      <c r="L3" s="324"/>
      <c r="M3" s="325"/>
    </row>
    <row r="4" spans="2:13" ht="24" customHeight="1">
      <c r="B4" s="508"/>
      <c r="C4" s="510" t="s">
        <v>27</v>
      </c>
      <c r="D4" s="511"/>
      <c r="E4" s="511"/>
      <c r="F4" s="511"/>
      <c r="G4" s="511"/>
      <c r="H4" s="511"/>
      <c r="I4" s="512"/>
      <c r="J4" s="320"/>
      <c r="K4" s="321"/>
      <c r="L4" s="326"/>
      <c r="M4" s="327"/>
    </row>
    <row r="5" spans="2:13" ht="60" customHeight="1">
      <c r="B5" s="509"/>
      <c r="C5" s="513"/>
      <c r="D5" s="514"/>
      <c r="E5" s="514"/>
      <c r="F5" s="514"/>
      <c r="G5" s="514"/>
      <c r="H5" s="514"/>
      <c r="I5" s="515"/>
      <c r="J5" s="334" t="s">
        <v>1</v>
      </c>
      <c r="K5" s="335"/>
      <c r="L5" s="336" t="s">
        <v>182</v>
      </c>
      <c r="M5" s="337"/>
    </row>
    <row r="6" spans="2:13" ht="23.25">
      <c r="B6" s="91" t="s">
        <v>3</v>
      </c>
      <c r="C6" s="569" t="s">
        <v>67</v>
      </c>
      <c r="D6" s="570"/>
      <c r="E6" s="570"/>
      <c r="F6" s="570"/>
      <c r="G6" s="570"/>
      <c r="H6" s="570"/>
      <c r="I6" s="571"/>
      <c r="J6" s="276" t="s">
        <v>4</v>
      </c>
      <c r="K6" s="277"/>
      <c r="L6" s="280" t="s">
        <v>43</v>
      </c>
      <c r="M6" s="281"/>
    </row>
    <row r="7" spans="2:13" ht="18" customHeight="1">
      <c r="B7" s="411" t="s">
        <v>2</v>
      </c>
      <c r="C7" s="551" t="s">
        <v>68</v>
      </c>
      <c r="D7" s="551"/>
      <c r="E7" s="551"/>
      <c r="F7" s="551"/>
      <c r="G7" s="551"/>
      <c r="H7" s="551"/>
      <c r="I7" s="551"/>
      <c r="J7" s="278"/>
      <c r="K7" s="279"/>
      <c r="L7" s="282"/>
      <c r="M7" s="283"/>
    </row>
    <row r="8" spans="2:13" ht="14.25" customHeight="1">
      <c r="B8" s="411"/>
      <c r="C8" s="551"/>
      <c r="D8" s="551"/>
      <c r="E8" s="551"/>
      <c r="F8" s="551"/>
      <c r="G8" s="551"/>
      <c r="H8" s="551"/>
      <c r="I8" s="551"/>
      <c r="J8" s="276" t="s">
        <v>5</v>
      </c>
      <c r="K8" s="277"/>
      <c r="L8" s="291" t="s">
        <v>197</v>
      </c>
      <c r="M8" s="292"/>
    </row>
    <row r="9" spans="2:13" ht="24" customHeight="1">
      <c r="B9" s="297" t="s">
        <v>6</v>
      </c>
      <c r="C9" s="573" t="s">
        <v>69</v>
      </c>
      <c r="D9" s="553"/>
      <c r="E9" s="553"/>
      <c r="F9" s="553"/>
      <c r="G9" s="553"/>
      <c r="H9" s="553"/>
      <c r="I9" s="554"/>
      <c r="J9" s="287"/>
      <c r="K9" s="288"/>
      <c r="L9" s="293"/>
      <c r="M9" s="294"/>
    </row>
    <row r="10" spans="2:13" ht="21" customHeight="1" thickBot="1">
      <c r="B10" s="298"/>
      <c r="C10" s="555"/>
      <c r="D10" s="556"/>
      <c r="E10" s="556"/>
      <c r="F10" s="556"/>
      <c r="G10" s="556"/>
      <c r="H10" s="556"/>
      <c r="I10" s="557"/>
      <c r="J10" s="289"/>
      <c r="K10" s="290"/>
      <c r="L10" s="295"/>
      <c r="M10" s="296"/>
    </row>
    <row r="11" spans="2:13" ht="3.75" customHeight="1" thickBot="1">
      <c r="B11" s="24"/>
      <c r="C11" s="25"/>
      <c r="D11" s="25"/>
      <c r="E11" s="25"/>
      <c r="F11" s="25"/>
      <c r="G11" s="25"/>
      <c r="H11" s="25"/>
      <c r="I11" s="25"/>
      <c r="J11" s="25"/>
      <c r="K11" s="25"/>
      <c r="L11" s="26"/>
      <c r="M11" s="27"/>
    </row>
    <row r="12" spans="2:13" ht="15">
      <c r="B12" s="493" t="s">
        <v>36</v>
      </c>
      <c r="C12" s="494"/>
      <c r="D12" s="494"/>
      <c r="E12" s="494"/>
      <c r="F12" s="494"/>
      <c r="G12" s="494"/>
      <c r="H12" s="494"/>
      <c r="I12" s="494"/>
      <c r="J12" s="494"/>
      <c r="K12" s="494"/>
      <c r="L12" s="494"/>
      <c r="M12" s="495"/>
    </row>
    <row r="13" spans="2:13" ht="15.75">
      <c r="B13" s="341" t="s">
        <v>8</v>
      </c>
      <c r="C13" s="342"/>
      <c r="D13" s="342"/>
      <c r="E13" s="342"/>
      <c r="F13" s="342"/>
      <c r="G13" s="342"/>
      <c r="H13" s="342"/>
      <c r="I13" s="342"/>
      <c r="J13" s="342"/>
      <c r="K13" s="342"/>
      <c r="L13" s="342"/>
      <c r="M13" s="343"/>
    </row>
    <row r="14" spans="2:13" ht="31.5" customHeight="1">
      <c r="B14" s="430" t="s">
        <v>9</v>
      </c>
      <c r="C14" s="496" t="s">
        <v>168</v>
      </c>
      <c r="D14" s="346"/>
      <c r="E14" s="346"/>
      <c r="F14" s="346"/>
      <c r="G14" s="346"/>
      <c r="H14" s="347"/>
      <c r="I14" s="432" t="s">
        <v>10</v>
      </c>
      <c r="J14" s="433"/>
      <c r="K14" s="539" t="s">
        <v>166</v>
      </c>
      <c r="L14" s="540"/>
      <c r="M14" s="541"/>
    </row>
    <row r="15" spans="2:13" ht="54" customHeight="1">
      <c r="B15" s="431"/>
      <c r="C15" s="282"/>
      <c r="D15" s="348"/>
      <c r="E15" s="348"/>
      <c r="F15" s="348"/>
      <c r="G15" s="348"/>
      <c r="H15" s="349"/>
      <c r="I15" s="432" t="s">
        <v>11</v>
      </c>
      <c r="J15" s="433"/>
      <c r="K15" s="437" t="s">
        <v>171</v>
      </c>
      <c r="L15" s="438"/>
      <c r="M15" s="439"/>
    </row>
    <row r="16" spans="2:13" ht="15">
      <c r="B16" s="28" t="s">
        <v>12</v>
      </c>
      <c r="C16" s="29" t="s">
        <v>13</v>
      </c>
      <c r="D16" s="504" t="s">
        <v>14</v>
      </c>
      <c r="E16" s="505"/>
      <c r="F16" s="505"/>
      <c r="G16" s="505"/>
      <c r="H16" s="505"/>
      <c r="I16" s="505"/>
      <c r="J16" s="506"/>
      <c r="K16" s="30" t="s">
        <v>15</v>
      </c>
      <c r="L16" s="104" t="s">
        <v>16</v>
      </c>
      <c r="M16" s="31" t="s">
        <v>17</v>
      </c>
    </row>
    <row r="17" spans="2:13" ht="53.25" customHeight="1">
      <c r="B17" s="32"/>
      <c r="C17" s="23"/>
      <c r="D17" s="535" t="s">
        <v>164</v>
      </c>
      <c r="E17" s="536"/>
      <c r="F17" s="536"/>
      <c r="G17" s="536"/>
      <c r="H17" s="536"/>
      <c r="I17" s="536"/>
      <c r="J17" s="563"/>
      <c r="K17" s="33"/>
      <c r="L17" s="34"/>
      <c r="M17" s="35"/>
    </row>
    <row r="18" spans="2:13" ht="18" customHeight="1">
      <c r="B18" s="22"/>
      <c r="C18" s="36"/>
      <c r="D18" s="109"/>
      <c r="E18" s="110"/>
      <c r="F18" s="110"/>
      <c r="G18" s="110"/>
      <c r="H18" s="110"/>
      <c r="I18" s="110"/>
      <c r="J18" s="111"/>
      <c r="K18" s="37"/>
      <c r="L18" s="38"/>
      <c r="M18" s="39"/>
    </row>
    <row r="19" spans="2:13" ht="18" customHeight="1">
      <c r="B19" s="22"/>
      <c r="C19" s="36"/>
      <c r="D19" s="115" t="s">
        <v>44</v>
      </c>
      <c r="E19" s="119"/>
      <c r="F19" s="119"/>
      <c r="G19" s="119"/>
      <c r="H19" s="119"/>
      <c r="I19" s="119"/>
      <c r="J19" s="90"/>
      <c r="K19" s="37"/>
      <c r="L19" s="38"/>
      <c r="M19" s="39"/>
    </row>
    <row r="20" spans="2:13" ht="20.25">
      <c r="B20" s="22"/>
      <c r="C20" s="77"/>
      <c r="D20" s="120" t="s">
        <v>49</v>
      </c>
      <c r="E20" s="119"/>
      <c r="F20" s="119"/>
      <c r="G20" s="119"/>
      <c r="H20" s="119"/>
      <c r="I20" s="119"/>
      <c r="J20" s="107"/>
      <c r="K20" s="105"/>
      <c r="L20" s="38"/>
      <c r="M20" s="39"/>
    </row>
    <row r="21" spans="2:13" ht="18" customHeight="1">
      <c r="B21" s="22"/>
      <c r="C21" s="36"/>
      <c r="D21" s="120" t="s">
        <v>165</v>
      </c>
      <c r="E21" s="119"/>
      <c r="F21" s="119"/>
      <c r="G21" s="119"/>
      <c r="H21" s="119"/>
      <c r="I21" s="119"/>
      <c r="J21" s="108"/>
      <c r="K21" s="105"/>
      <c r="L21" s="38"/>
      <c r="M21" s="39"/>
    </row>
    <row r="22" spans="2:13" ht="18.75">
      <c r="B22" s="22"/>
      <c r="C22" s="36"/>
      <c r="D22" s="120" t="s">
        <v>62</v>
      </c>
      <c r="E22" s="119"/>
      <c r="F22" s="119"/>
      <c r="G22" s="119"/>
      <c r="H22" s="119"/>
      <c r="I22" s="119"/>
      <c r="J22" s="64"/>
      <c r="K22" s="105"/>
      <c r="L22" s="38"/>
      <c r="M22" s="39"/>
    </row>
    <row r="23" spans="2:13" ht="18" customHeight="1">
      <c r="B23" s="22"/>
      <c r="C23" s="77"/>
      <c r="D23" s="120" t="s">
        <v>50</v>
      </c>
      <c r="E23" s="119"/>
      <c r="F23" s="119"/>
      <c r="G23" s="119"/>
      <c r="H23" s="119"/>
      <c r="I23" s="119"/>
      <c r="J23" s="107"/>
      <c r="K23" s="105"/>
      <c r="L23" s="38"/>
      <c r="M23" s="39"/>
    </row>
    <row r="24" spans="2:13" ht="18" customHeight="1">
      <c r="B24" s="22"/>
      <c r="C24" s="36"/>
      <c r="D24" s="120" t="s">
        <v>167</v>
      </c>
      <c r="E24" s="119"/>
      <c r="F24" s="119"/>
      <c r="G24" s="119"/>
      <c r="H24" s="119"/>
      <c r="I24" s="119"/>
      <c r="J24" s="108"/>
      <c r="K24" s="105"/>
      <c r="L24" s="38"/>
      <c r="M24" s="39"/>
    </row>
    <row r="25" spans="2:13" ht="18.75">
      <c r="B25" s="40"/>
      <c r="C25" s="41"/>
      <c r="D25" s="120" t="s">
        <v>51</v>
      </c>
      <c r="E25" s="119"/>
      <c r="F25" s="119"/>
      <c r="G25" s="119"/>
      <c r="H25" s="119"/>
      <c r="I25" s="119"/>
      <c r="J25" s="64"/>
      <c r="K25" s="105"/>
      <c r="L25" s="42"/>
      <c r="M25" s="43"/>
    </row>
    <row r="26" spans="2:13" ht="21.75">
      <c r="B26" s="40"/>
      <c r="C26" s="41"/>
      <c r="D26" s="116"/>
      <c r="E26" s="119"/>
      <c r="F26" s="119"/>
      <c r="G26" s="119"/>
      <c r="H26" s="119"/>
      <c r="I26" s="119"/>
      <c r="J26" s="108"/>
      <c r="K26" s="105"/>
      <c r="L26" s="42"/>
      <c r="M26" s="43"/>
    </row>
    <row r="27" spans="2:13" ht="18" customHeight="1">
      <c r="B27" s="22"/>
      <c r="C27" s="36"/>
      <c r="D27" s="115" t="s">
        <v>45</v>
      </c>
      <c r="E27" s="119"/>
      <c r="F27" s="119"/>
      <c r="G27" s="119"/>
      <c r="H27" s="119"/>
      <c r="I27" s="119"/>
      <c r="J27" s="108"/>
      <c r="K27" s="106"/>
      <c r="L27" s="45"/>
      <c r="M27" s="43"/>
    </row>
    <row r="28" spans="2:13" ht="39.75" customHeight="1">
      <c r="B28" s="22"/>
      <c r="C28" s="36"/>
      <c r="D28" s="115" t="s">
        <v>40</v>
      </c>
      <c r="E28" s="119"/>
      <c r="F28" s="119"/>
      <c r="G28" s="119"/>
      <c r="H28" s="119"/>
      <c r="I28" s="119"/>
      <c r="J28" s="90"/>
      <c r="K28" s="106"/>
      <c r="L28" s="45"/>
      <c r="M28" s="43"/>
    </row>
    <row r="29" spans="2:13" ht="18" customHeight="1">
      <c r="B29" s="22"/>
      <c r="C29" s="77"/>
      <c r="D29" s="118" t="s">
        <v>1</v>
      </c>
      <c r="E29" s="118" t="s">
        <v>41</v>
      </c>
      <c r="F29" s="118" t="s">
        <v>46</v>
      </c>
      <c r="G29" s="564" t="s">
        <v>42</v>
      </c>
      <c r="H29" s="564"/>
      <c r="I29" s="118" t="s">
        <v>46</v>
      </c>
      <c r="J29" s="118" t="s">
        <v>47</v>
      </c>
      <c r="L29" s="38"/>
      <c r="M29" s="39"/>
    </row>
    <row r="30" spans="2:13" ht="90" customHeight="1">
      <c r="B30" s="22"/>
      <c r="C30" s="77" t="s">
        <v>60</v>
      </c>
      <c r="D30" s="117" t="s">
        <v>48</v>
      </c>
      <c r="E30" s="117" t="s">
        <v>70</v>
      </c>
      <c r="F30" s="117" t="s">
        <v>96</v>
      </c>
      <c r="G30" s="565" t="s">
        <v>168</v>
      </c>
      <c r="H30" s="565"/>
      <c r="I30" s="117" t="s">
        <v>48</v>
      </c>
      <c r="J30" s="117">
        <v>17</v>
      </c>
      <c r="K30" s="123">
        <f>J30</f>
        <v>17</v>
      </c>
      <c r="L30" s="124">
        <v>8000</v>
      </c>
      <c r="M30" s="79">
        <f>L30*K30</f>
        <v>136000</v>
      </c>
    </row>
    <row r="31" spans="2:13" ht="42" customHeight="1">
      <c r="B31" s="22"/>
      <c r="C31" s="77"/>
      <c r="D31" s="560" t="s">
        <v>169</v>
      </c>
      <c r="E31" s="561"/>
      <c r="F31" s="561"/>
      <c r="G31" s="561"/>
      <c r="H31" s="561"/>
      <c r="I31" s="561"/>
      <c r="J31" s="562"/>
      <c r="K31" s="123"/>
      <c r="L31" s="124"/>
      <c r="M31" s="79"/>
    </row>
    <row r="32" spans="2:13" ht="18" customHeight="1">
      <c r="B32" s="22"/>
      <c r="C32" s="36"/>
      <c r="D32" s="115"/>
      <c r="E32" s="119"/>
      <c r="F32" s="119"/>
      <c r="G32" s="119"/>
      <c r="H32" s="119"/>
      <c r="I32" s="119"/>
      <c r="J32" s="64"/>
      <c r="K32" s="44"/>
      <c r="L32" s="46"/>
      <c r="M32" s="43"/>
    </row>
    <row r="33" spans="2:13" ht="18" customHeight="1">
      <c r="B33" s="22"/>
      <c r="C33" s="36"/>
      <c r="D33" s="115" t="s">
        <v>38</v>
      </c>
      <c r="E33" s="119"/>
      <c r="F33" s="119"/>
      <c r="G33" s="119"/>
      <c r="H33" s="119"/>
      <c r="I33" s="119"/>
      <c r="J33" s="107"/>
      <c r="K33" s="44"/>
      <c r="L33" s="46"/>
      <c r="M33" s="43"/>
    </row>
    <row r="34" spans="2:13" ht="18" customHeight="1">
      <c r="B34" s="22"/>
      <c r="C34" s="36"/>
      <c r="D34" s="121" t="s">
        <v>52</v>
      </c>
      <c r="E34" s="119"/>
      <c r="F34" s="119"/>
      <c r="G34" s="119"/>
      <c r="H34" s="119"/>
      <c r="I34" s="119"/>
      <c r="J34" s="112"/>
      <c r="K34" s="44"/>
      <c r="L34" s="46"/>
      <c r="M34" s="43"/>
    </row>
    <row r="35" spans="2:13" ht="18.75">
      <c r="B35" s="22"/>
      <c r="C35" s="36"/>
      <c r="D35" s="121" t="s">
        <v>53</v>
      </c>
      <c r="E35" s="119"/>
      <c r="F35" s="119"/>
      <c r="G35" s="119"/>
      <c r="H35" s="119"/>
      <c r="I35" s="119"/>
      <c r="J35" s="90"/>
      <c r="K35" s="44"/>
      <c r="L35" s="46"/>
      <c r="M35" s="43"/>
    </row>
    <row r="36" spans="2:13" ht="20.25" customHeight="1">
      <c r="B36" s="22"/>
      <c r="C36" s="36"/>
      <c r="D36" s="121" t="s">
        <v>54</v>
      </c>
      <c r="E36" s="119"/>
      <c r="F36" s="119"/>
      <c r="G36" s="119"/>
      <c r="H36" s="119"/>
      <c r="I36" s="119"/>
      <c r="J36" s="107"/>
      <c r="K36" s="44"/>
      <c r="L36" s="46"/>
      <c r="M36" s="43"/>
    </row>
    <row r="37" spans="2:13" ht="18.75" customHeight="1">
      <c r="B37" s="22"/>
      <c r="C37" s="36"/>
      <c r="D37" s="121" t="s">
        <v>55</v>
      </c>
      <c r="E37" s="119"/>
      <c r="F37" s="119"/>
      <c r="G37" s="119"/>
      <c r="H37" s="119"/>
      <c r="I37" s="119"/>
      <c r="J37" s="112"/>
      <c r="K37" s="44"/>
      <c r="L37" s="46"/>
      <c r="M37" s="43"/>
    </row>
    <row r="38" spans="2:13" ht="18.75">
      <c r="B38" s="40"/>
      <c r="C38" s="36"/>
      <c r="D38" s="121" t="s">
        <v>56</v>
      </c>
      <c r="E38" s="119"/>
      <c r="F38" s="119"/>
      <c r="G38" s="119"/>
      <c r="H38" s="119"/>
      <c r="I38" s="119"/>
      <c r="J38" s="68"/>
      <c r="K38" s="44"/>
      <c r="L38" s="47"/>
      <c r="M38" s="43"/>
    </row>
    <row r="39" spans="2:13" ht="17.25" customHeight="1">
      <c r="B39" s="40"/>
      <c r="C39" s="36"/>
      <c r="D39" s="121" t="s">
        <v>61</v>
      </c>
      <c r="E39" s="119"/>
      <c r="F39" s="119"/>
      <c r="G39" s="119"/>
      <c r="H39" s="119"/>
      <c r="I39" s="119"/>
      <c r="J39" s="107"/>
      <c r="K39" s="44"/>
      <c r="L39" s="47"/>
      <c r="M39" s="43"/>
    </row>
    <row r="40" spans="2:13" ht="19.5" customHeight="1">
      <c r="B40" s="48"/>
      <c r="C40" s="36"/>
      <c r="D40" s="121" t="s">
        <v>57</v>
      </c>
      <c r="E40" s="119"/>
      <c r="F40" s="119"/>
      <c r="G40" s="119"/>
      <c r="H40" s="119"/>
      <c r="I40" s="119"/>
      <c r="J40" s="107"/>
      <c r="K40" s="44"/>
      <c r="L40" s="47"/>
      <c r="M40" s="43"/>
    </row>
    <row r="41" spans="2:13" ht="19.5" customHeight="1">
      <c r="B41" s="48"/>
      <c r="C41" s="36"/>
      <c r="D41" s="141" t="s">
        <v>97</v>
      </c>
      <c r="E41" s="142"/>
      <c r="F41" s="142"/>
      <c r="G41" s="142"/>
      <c r="H41" s="142"/>
      <c r="I41" s="142"/>
      <c r="J41" s="143"/>
      <c r="K41" s="44"/>
      <c r="L41" s="47"/>
      <c r="M41" s="43"/>
    </row>
    <row r="42" spans="2:13" ht="20.25">
      <c r="B42" s="48"/>
      <c r="C42" s="36"/>
      <c r="D42" s="115"/>
      <c r="E42" s="119"/>
      <c r="F42" s="119"/>
      <c r="G42" s="119"/>
      <c r="H42" s="119"/>
      <c r="I42" s="119"/>
      <c r="J42" s="112"/>
      <c r="K42" s="44"/>
      <c r="L42" s="47"/>
      <c r="M42" s="43"/>
    </row>
    <row r="43" spans="2:13" ht="18.75">
      <c r="B43" s="22"/>
      <c r="C43" s="36"/>
      <c r="D43" s="115" t="s">
        <v>39</v>
      </c>
      <c r="E43" s="119"/>
      <c r="F43" s="119"/>
      <c r="G43" s="119"/>
      <c r="H43" s="119"/>
      <c r="I43" s="119"/>
      <c r="J43" s="64"/>
      <c r="K43" s="44"/>
      <c r="L43" s="47"/>
      <c r="M43" s="43"/>
    </row>
    <row r="44" spans="2:13" ht="20.25">
      <c r="B44" s="22"/>
      <c r="C44" s="36"/>
      <c r="D44" s="121" t="s">
        <v>58</v>
      </c>
      <c r="E44" s="119"/>
      <c r="F44" s="119"/>
      <c r="G44" s="119"/>
      <c r="H44" s="119"/>
      <c r="I44" s="119"/>
      <c r="J44" s="113"/>
      <c r="K44" s="44"/>
      <c r="L44" s="47"/>
      <c r="M44" s="43"/>
    </row>
    <row r="45" spans="2:13" ht="18.75">
      <c r="B45" s="22"/>
      <c r="C45" s="36"/>
      <c r="D45" s="121" t="s">
        <v>59</v>
      </c>
      <c r="E45" s="119"/>
      <c r="F45" s="119"/>
      <c r="G45" s="119"/>
      <c r="H45" s="119"/>
      <c r="I45" s="119"/>
      <c r="J45" s="63"/>
      <c r="K45" s="44"/>
      <c r="L45" s="47"/>
      <c r="M45" s="43"/>
    </row>
    <row r="46" spans="2:13" ht="18.75">
      <c r="B46" s="22"/>
      <c r="C46" s="36"/>
      <c r="D46" s="116"/>
      <c r="E46" s="119"/>
      <c r="F46" s="119"/>
      <c r="G46" s="119"/>
      <c r="H46" s="119"/>
      <c r="I46" s="119"/>
      <c r="J46" s="114"/>
      <c r="K46" s="44"/>
      <c r="L46" s="47"/>
      <c r="M46" s="43"/>
    </row>
    <row r="47" spans="2:13" ht="18.75">
      <c r="B47" s="22"/>
      <c r="C47" s="36"/>
      <c r="D47" s="122" t="s">
        <v>170</v>
      </c>
      <c r="E47" s="119"/>
      <c r="F47" s="119"/>
      <c r="G47" s="119"/>
      <c r="H47" s="119"/>
      <c r="I47" s="119"/>
      <c r="J47" s="63"/>
      <c r="K47" s="44"/>
      <c r="L47" s="47"/>
      <c r="M47" s="43"/>
    </row>
    <row r="48" spans="2:13" ht="18.75" customHeight="1">
      <c r="B48" s="22"/>
      <c r="C48" s="36"/>
      <c r="D48" s="566" t="s">
        <v>32</v>
      </c>
      <c r="E48" s="567"/>
      <c r="F48" s="567"/>
      <c r="G48" s="567"/>
      <c r="H48" s="567"/>
      <c r="I48" s="567"/>
      <c r="J48" s="568"/>
      <c r="K48" s="44"/>
      <c r="L48" s="47"/>
      <c r="M48" s="43"/>
    </row>
    <row r="49" spans="2:13" ht="18">
      <c r="B49" s="49"/>
      <c r="C49" s="51"/>
      <c r="D49" s="65"/>
      <c r="E49" s="66"/>
      <c r="F49" s="66"/>
      <c r="G49" s="66"/>
      <c r="H49" s="66"/>
      <c r="I49" s="66"/>
      <c r="J49" s="67"/>
      <c r="K49" s="572" t="s">
        <v>20</v>
      </c>
      <c r="L49" s="462"/>
      <c r="M49" s="96">
        <f>SUM(M30:M30)</f>
        <v>136000</v>
      </c>
    </row>
    <row r="50" spans="2:13" ht="18">
      <c r="B50" s="526" t="s">
        <v>203</v>
      </c>
      <c r="C50" s="527"/>
      <c r="D50" s="528"/>
      <c r="E50" s="528"/>
      <c r="F50" s="528"/>
      <c r="G50" s="528"/>
      <c r="H50" s="528"/>
      <c r="I50" s="528"/>
      <c r="J50" s="528"/>
      <c r="K50" s="527"/>
      <c r="L50" s="527"/>
      <c r="M50" s="529"/>
    </row>
    <row r="51" spans="2:13" ht="15">
      <c r="B51" s="49" t="s">
        <v>18</v>
      </c>
      <c r="C51" s="21"/>
      <c r="D51" s="21"/>
      <c r="E51" s="21"/>
      <c r="F51" s="21"/>
      <c r="G51" s="21"/>
      <c r="H51" s="21"/>
      <c r="I51" s="21"/>
      <c r="J51" s="21"/>
      <c r="K51" s="21"/>
      <c r="L51" s="21"/>
      <c r="M51" s="50"/>
    </row>
    <row r="52" spans="2:13" ht="15">
      <c r="B52" s="49" t="s">
        <v>19</v>
      </c>
      <c r="C52" s="21"/>
      <c r="D52" s="21"/>
      <c r="E52" s="21"/>
      <c r="F52" s="21"/>
      <c r="G52" s="21"/>
      <c r="H52" s="21"/>
      <c r="I52" s="21"/>
      <c r="J52" s="21"/>
      <c r="K52" s="21"/>
      <c r="L52" s="21"/>
      <c r="M52" s="50"/>
    </row>
    <row r="53" spans="2:13" ht="15">
      <c r="B53" s="49"/>
      <c r="C53" s="21"/>
      <c r="D53" s="21"/>
      <c r="E53" s="21"/>
      <c r="F53" s="21"/>
      <c r="G53" s="21"/>
      <c r="H53" s="21"/>
      <c r="I53" s="21"/>
      <c r="J53" s="21" t="s">
        <v>23</v>
      </c>
      <c r="K53" s="21"/>
      <c r="L53" s="21"/>
      <c r="M53" s="50"/>
    </row>
    <row r="54" spans="2:13" ht="15">
      <c r="B54" s="49"/>
      <c r="C54" s="21"/>
      <c r="D54" s="21"/>
      <c r="E54" s="21"/>
      <c r="F54" s="21"/>
      <c r="G54" s="21"/>
      <c r="H54" s="21"/>
      <c r="I54" s="21"/>
      <c r="J54" s="21"/>
      <c r="K54" s="21"/>
      <c r="L54" s="21"/>
      <c r="M54" s="50"/>
    </row>
    <row r="55" spans="2:13" ht="15">
      <c r="B55" s="52" t="s">
        <v>22</v>
      </c>
      <c r="C55" s="21"/>
      <c r="D55" s="21"/>
      <c r="E55" s="21"/>
      <c r="F55" s="21"/>
      <c r="G55" s="21"/>
      <c r="H55" s="21"/>
      <c r="I55" s="21"/>
      <c r="J55" s="21"/>
      <c r="K55" s="21"/>
      <c r="L55" s="21"/>
      <c r="M55" s="50"/>
    </row>
    <row r="56" spans="2:13" ht="18.75" thickBot="1">
      <c r="B56" s="49"/>
      <c r="C56" s="53"/>
      <c r="D56" s="53"/>
      <c r="E56" s="53"/>
      <c r="F56" s="21"/>
      <c r="G56" s="21"/>
      <c r="H56" s="21"/>
      <c r="I56" s="54"/>
      <c r="J56" s="102" t="s">
        <v>93</v>
      </c>
      <c r="K56" s="54"/>
      <c r="L56" s="54"/>
      <c r="M56" s="50"/>
    </row>
    <row r="57" spans="2:13" ht="18">
      <c r="B57" s="49"/>
      <c r="C57" s="463" t="s">
        <v>21</v>
      </c>
      <c r="D57" s="463"/>
      <c r="E57" s="463"/>
      <c r="F57" s="55"/>
      <c r="G57" s="55"/>
      <c r="H57" s="21"/>
      <c r="I57" s="56"/>
      <c r="J57" s="103" t="s">
        <v>91</v>
      </c>
      <c r="K57" s="56"/>
      <c r="L57" s="56"/>
      <c r="M57" s="50"/>
    </row>
    <row r="58" spans="2:13" ht="18">
      <c r="B58" s="49"/>
      <c r="C58" s="55"/>
      <c r="D58" s="55"/>
      <c r="E58" s="55"/>
      <c r="F58" s="55"/>
      <c r="G58" s="55"/>
      <c r="H58" s="21"/>
      <c r="I58" s="56"/>
      <c r="J58" s="103"/>
      <c r="K58" s="56"/>
      <c r="L58" s="56"/>
      <c r="M58" s="50"/>
    </row>
    <row r="59" spans="2:13" ht="15.75" thickBot="1">
      <c r="B59" s="49"/>
      <c r="C59" s="53"/>
      <c r="D59" s="53"/>
      <c r="E59" s="53"/>
      <c r="F59" s="21"/>
      <c r="G59" s="21"/>
      <c r="H59" s="21"/>
      <c r="I59" s="21"/>
      <c r="J59" s="21"/>
      <c r="K59" s="21"/>
      <c r="L59" s="21"/>
      <c r="M59" s="50"/>
    </row>
    <row r="60" spans="2:13" ht="15">
      <c r="B60" s="57"/>
      <c r="C60" s="464" t="s">
        <v>1</v>
      </c>
      <c r="D60" s="464"/>
      <c r="E60" s="464"/>
      <c r="F60" s="58"/>
      <c r="G60" s="58"/>
      <c r="H60" s="59"/>
      <c r="I60" s="59"/>
      <c r="J60" s="59"/>
      <c r="K60" s="59"/>
      <c r="L60" s="59"/>
      <c r="M60" s="50"/>
    </row>
    <row r="61" spans="2:13" ht="18.75" thickBot="1">
      <c r="B61" s="97" t="s">
        <v>24</v>
      </c>
      <c r="C61" s="98"/>
      <c r="D61" s="98"/>
      <c r="E61" s="98"/>
      <c r="F61" s="98"/>
      <c r="G61" s="98"/>
      <c r="H61" s="98"/>
      <c r="I61" s="98" t="s">
        <v>25</v>
      </c>
      <c r="J61" s="53"/>
      <c r="K61" s="53"/>
      <c r="L61" s="53"/>
      <c r="M61" s="60"/>
    </row>
    <row r="62" spans="2:13" ht="18.75" thickBot="1">
      <c r="B62" s="97"/>
      <c r="C62" s="98"/>
      <c r="D62" s="98"/>
      <c r="E62" s="98"/>
      <c r="F62" s="98"/>
      <c r="G62" s="98"/>
      <c r="H62" s="98"/>
      <c r="I62" s="98"/>
      <c r="J62" s="53"/>
      <c r="K62" s="53"/>
      <c r="L62" s="53"/>
      <c r="M62" s="61"/>
    </row>
    <row r="63" spans="2:13" ht="18.75" thickBot="1">
      <c r="B63" s="99"/>
      <c r="C63" s="465" t="s">
        <v>73</v>
      </c>
      <c r="D63" s="465"/>
      <c r="E63" s="465"/>
      <c r="F63" s="100"/>
      <c r="G63" s="100"/>
      <c r="H63" s="98"/>
      <c r="I63" s="98" t="s">
        <v>26</v>
      </c>
      <c r="J63" s="53"/>
      <c r="K63" s="53"/>
      <c r="L63" s="53"/>
      <c r="M63" s="61"/>
    </row>
    <row r="64" spans="2:13" ht="18.75" thickBot="1">
      <c r="B64" s="476" t="s">
        <v>206</v>
      </c>
      <c r="C64" s="477"/>
      <c r="D64" s="477"/>
      <c r="E64" s="477"/>
      <c r="F64" s="477"/>
      <c r="G64" s="477"/>
      <c r="H64" s="101"/>
      <c r="I64" s="101"/>
      <c r="J64" s="53"/>
      <c r="K64" s="53"/>
      <c r="L64" s="53"/>
      <c r="M64" s="61"/>
    </row>
  </sheetData>
  <mergeCells count="36">
    <mergeCell ref="L2:M4"/>
    <mergeCell ref="J6:K7"/>
    <mergeCell ref="L6:M7"/>
    <mergeCell ref="J5:K5"/>
    <mergeCell ref="L5:M5"/>
    <mergeCell ref="L8:M10"/>
    <mergeCell ref="B50:M50"/>
    <mergeCell ref="C57:E57"/>
    <mergeCell ref="C60:E60"/>
    <mergeCell ref="K49:L49"/>
    <mergeCell ref="B13:M13"/>
    <mergeCell ref="B14:B15"/>
    <mergeCell ref="C14:H15"/>
    <mergeCell ref="I14:J14"/>
    <mergeCell ref="K14:M14"/>
    <mergeCell ref="I15:J15"/>
    <mergeCell ref="K15:M15"/>
    <mergeCell ref="B9:B10"/>
    <mergeCell ref="C9:I10"/>
    <mergeCell ref="B12:M12"/>
    <mergeCell ref="B7:B8"/>
    <mergeCell ref="C7:I8"/>
    <mergeCell ref="B2:B5"/>
    <mergeCell ref="C4:I5"/>
    <mergeCell ref="B64:G64"/>
    <mergeCell ref="C63:E63"/>
    <mergeCell ref="D31:J31"/>
    <mergeCell ref="D16:J16"/>
    <mergeCell ref="D17:J17"/>
    <mergeCell ref="G29:H29"/>
    <mergeCell ref="G30:H30"/>
    <mergeCell ref="D48:J48"/>
    <mergeCell ref="J8:K10"/>
    <mergeCell ref="C2:I3"/>
    <mergeCell ref="J2:K4"/>
    <mergeCell ref="C6:I6"/>
  </mergeCells>
  <hyperlinks>
    <hyperlink ref="C9" r:id="rId1" xr:uid="{2F5F4035-E489-48C0-A3AB-233B9E22808A}"/>
  </hyperlinks>
  <printOptions horizontalCentered="1"/>
  <pageMargins left="0" right="0" top="0.25" bottom="0.25" header="0" footer="0"/>
  <pageSetup paperSize="9" scale="51" fitToHeight="0"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6A057-F38E-4D33-B110-980A4AE3624F}">
  <sheetPr codeName="Sheet7">
    <tabColor rgb="FFC00000"/>
  </sheetPr>
  <dimension ref="B1:N70"/>
  <sheetViews>
    <sheetView view="pageBreakPreview" topLeftCell="A55" zoomScale="78" zoomScaleNormal="100" zoomScaleSheetLayoutView="78" workbookViewId="0">
      <selection activeCell="E41" sqref="E41"/>
    </sheetView>
  </sheetViews>
  <sheetFormatPr defaultColWidth="9.140625" defaultRowHeight="14.25"/>
  <cols>
    <col min="1" max="1" width="15.42578125" style="1" customWidth="1"/>
    <col min="2" max="2" width="16.140625" style="2" customWidth="1"/>
    <col min="3" max="3" width="9.5703125" style="1" customWidth="1"/>
    <col min="4" max="4" width="13.5703125" style="1" customWidth="1"/>
    <col min="5" max="5" width="34.28515625" style="1" customWidth="1"/>
    <col min="6" max="6" width="17" style="1" customWidth="1"/>
    <col min="7" max="7" width="12.28515625" style="1" customWidth="1"/>
    <col min="8" max="8" width="11" style="1" customWidth="1"/>
    <col min="9" max="9" width="13" style="1" customWidth="1"/>
    <col min="10" max="10" width="27.85546875" style="1" customWidth="1"/>
    <col min="11" max="11" width="11.7109375" style="1" customWidth="1"/>
    <col min="12" max="12" width="13.42578125" style="1" customWidth="1"/>
    <col min="13" max="13" width="20.5703125" style="1" customWidth="1"/>
    <col min="14" max="16384" width="9.140625" style="1"/>
  </cols>
  <sheetData>
    <row r="1" spans="2:14" ht="15.75" thickBot="1">
      <c r="B1" s="21"/>
      <c r="C1" s="21"/>
      <c r="D1" s="21"/>
      <c r="E1" s="21"/>
      <c r="F1" s="21"/>
      <c r="G1" s="21"/>
      <c r="H1" s="21"/>
      <c r="I1" s="21"/>
      <c r="J1" s="21"/>
      <c r="K1" s="21"/>
      <c r="L1" s="21"/>
      <c r="M1" s="21"/>
      <c r="N1" s="1" t="s">
        <v>101</v>
      </c>
    </row>
    <row r="2" spans="2:14" ht="14.25" customHeight="1">
      <c r="B2" s="507"/>
      <c r="C2" s="412" t="s">
        <v>0</v>
      </c>
      <c r="D2" s="413"/>
      <c r="E2" s="413"/>
      <c r="F2" s="413"/>
      <c r="G2" s="413"/>
      <c r="H2" s="413"/>
      <c r="I2" s="414"/>
      <c r="J2" s="316" t="s">
        <v>181</v>
      </c>
      <c r="K2" s="317"/>
      <c r="L2" s="322" t="s">
        <v>200</v>
      </c>
      <c r="M2" s="323"/>
    </row>
    <row r="3" spans="2:14" ht="14.25" customHeight="1">
      <c r="B3" s="508"/>
      <c r="C3" s="415"/>
      <c r="D3" s="416"/>
      <c r="E3" s="416"/>
      <c r="F3" s="416"/>
      <c r="G3" s="416"/>
      <c r="H3" s="416"/>
      <c r="I3" s="417"/>
      <c r="J3" s="318"/>
      <c r="K3" s="319"/>
      <c r="L3" s="324"/>
      <c r="M3" s="325"/>
    </row>
    <row r="4" spans="2:14" ht="24" customHeight="1">
      <c r="B4" s="508"/>
      <c r="C4" s="510" t="s">
        <v>27</v>
      </c>
      <c r="D4" s="511"/>
      <c r="E4" s="511"/>
      <c r="F4" s="511"/>
      <c r="G4" s="511"/>
      <c r="H4" s="511"/>
      <c r="I4" s="512"/>
      <c r="J4" s="320"/>
      <c r="K4" s="321"/>
      <c r="L4" s="326"/>
      <c r="M4" s="327"/>
    </row>
    <row r="5" spans="2:14" ht="60" customHeight="1">
      <c r="B5" s="509"/>
      <c r="C5" s="513"/>
      <c r="D5" s="514"/>
      <c r="E5" s="514"/>
      <c r="F5" s="514"/>
      <c r="G5" s="514"/>
      <c r="H5" s="514"/>
      <c r="I5" s="515"/>
      <c r="J5" s="334" t="s">
        <v>1</v>
      </c>
      <c r="K5" s="335"/>
      <c r="L5" s="336" t="s">
        <v>182</v>
      </c>
      <c r="M5" s="337"/>
    </row>
    <row r="6" spans="2:14" ht="27.75" customHeight="1">
      <c r="B6" s="126" t="s">
        <v>3</v>
      </c>
      <c r="C6" s="273" t="s">
        <v>98</v>
      </c>
      <c r="D6" s="274"/>
      <c r="E6" s="274"/>
      <c r="F6" s="274"/>
      <c r="G6" s="274"/>
      <c r="H6" s="274"/>
      <c r="I6" s="275"/>
      <c r="J6" s="276" t="s">
        <v>4</v>
      </c>
      <c r="K6" s="277"/>
      <c r="L6" s="280" t="s">
        <v>43</v>
      </c>
      <c r="M6" s="281"/>
    </row>
    <row r="7" spans="2:14" ht="18" customHeight="1">
      <c r="B7" s="411" t="s">
        <v>2</v>
      </c>
      <c r="C7" s="551" t="s">
        <v>99</v>
      </c>
      <c r="D7" s="551"/>
      <c r="E7" s="551"/>
      <c r="F7" s="551"/>
      <c r="G7" s="551"/>
      <c r="H7" s="551"/>
      <c r="I7" s="551"/>
      <c r="J7" s="278"/>
      <c r="K7" s="279"/>
      <c r="L7" s="282"/>
      <c r="M7" s="283"/>
    </row>
    <row r="8" spans="2:14" ht="14.25" customHeight="1">
      <c r="B8" s="411"/>
      <c r="C8" s="551"/>
      <c r="D8" s="551"/>
      <c r="E8" s="551"/>
      <c r="F8" s="551"/>
      <c r="G8" s="551"/>
      <c r="H8" s="551"/>
      <c r="I8" s="551"/>
      <c r="J8" s="276" t="s">
        <v>5</v>
      </c>
      <c r="K8" s="277"/>
      <c r="L8" s="291" t="s">
        <v>101</v>
      </c>
      <c r="M8" s="292"/>
    </row>
    <row r="9" spans="2:14" ht="24" customHeight="1">
      <c r="B9" s="297" t="s">
        <v>6</v>
      </c>
      <c r="C9" s="577" t="s">
        <v>100</v>
      </c>
      <c r="D9" s="578"/>
      <c r="E9" s="578"/>
      <c r="F9" s="578"/>
      <c r="G9" s="578"/>
      <c r="H9" s="578"/>
      <c r="I9" s="579"/>
      <c r="J9" s="287"/>
      <c r="K9" s="288"/>
      <c r="L9" s="293"/>
      <c r="M9" s="294"/>
    </row>
    <row r="10" spans="2:14" ht="21" customHeight="1" thickBot="1">
      <c r="B10" s="298"/>
      <c r="C10" s="580"/>
      <c r="D10" s="581"/>
      <c r="E10" s="581"/>
      <c r="F10" s="581"/>
      <c r="G10" s="581"/>
      <c r="H10" s="581"/>
      <c r="I10" s="582"/>
      <c r="J10" s="289"/>
      <c r="K10" s="290"/>
      <c r="L10" s="295"/>
      <c r="M10" s="296"/>
    </row>
    <row r="11" spans="2:14" ht="3.75" customHeight="1" thickBot="1">
      <c r="B11" s="24"/>
      <c r="C11" s="25"/>
      <c r="D11" s="25"/>
      <c r="E11" s="25"/>
      <c r="F11" s="25"/>
      <c r="G11" s="25"/>
      <c r="H11" s="25"/>
      <c r="I11" s="25"/>
      <c r="J11" s="25"/>
      <c r="K11" s="25"/>
      <c r="L11" s="26"/>
      <c r="M11" s="27"/>
    </row>
    <row r="12" spans="2:14" ht="15">
      <c r="B12" s="493" t="s">
        <v>36</v>
      </c>
      <c r="C12" s="494"/>
      <c r="D12" s="494"/>
      <c r="E12" s="494"/>
      <c r="F12" s="494"/>
      <c r="G12" s="494"/>
      <c r="H12" s="494"/>
      <c r="I12" s="494"/>
      <c r="J12" s="494"/>
      <c r="K12" s="494"/>
      <c r="L12" s="494"/>
      <c r="M12" s="495"/>
    </row>
    <row r="13" spans="2:14" ht="15.75">
      <c r="B13" s="341" t="s">
        <v>8</v>
      </c>
      <c r="C13" s="342"/>
      <c r="D13" s="342"/>
      <c r="E13" s="342"/>
      <c r="F13" s="342"/>
      <c r="G13" s="342"/>
      <c r="H13" s="342"/>
      <c r="I13" s="342"/>
      <c r="J13" s="342"/>
      <c r="K13" s="342"/>
      <c r="L13" s="342"/>
      <c r="M13" s="343"/>
    </row>
    <row r="14" spans="2:14" ht="31.5" customHeight="1">
      <c r="B14" s="430" t="s">
        <v>9</v>
      </c>
      <c r="C14" s="496" t="s">
        <v>168</v>
      </c>
      <c r="D14" s="346"/>
      <c r="E14" s="346"/>
      <c r="F14" s="346"/>
      <c r="G14" s="346"/>
      <c r="H14" s="347"/>
      <c r="I14" s="432" t="s">
        <v>10</v>
      </c>
      <c r="J14" s="433"/>
      <c r="K14" s="539" t="s">
        <v>173</v>
      </c>
      <c r="L14" s="540"/>
      <c r="M14" s="541"/>
    </row>
    <row r="15" spans="2:14" ht="58.5" customHeight="1">
      <c r="B15" s="431"/>
      <c r="C15" s="282"/>
      <c r="D15" s="348"/>
      <c r="E15" s="348"/>
      <c r="F15" s="348"/>
      <c r="G15" s="348"/>
      <c r="H15" s="349"/>
      <c r="I15" s="432" t="s">
        <v>11</v>
      </c>
      <c r="J15" s="433"/>
      <c r="K15" s="437" t="s">
        <v>202</v>
      </c>
      <c r="L15" s="438"/>
      <c r="M15" s="439"/>
    </row>
    <row r="16" spans="2:14" ht="15">
      <c r="B16" s="28" t="s">
        <v>12</v>
      </c>
      <c r="C16" s="29" t="s">
        <v>13</v>
      </c>
      <c r="D16" s="504" t="s">
        <v>14</v>
      </c>
      <c r="E16" s="505"/>
      <c r="F16" s="505"/>
      <c r="G16" s="505"/>
      <c r="H16" s="505"/>
      <c r="I16" s="505"/>
      <c r="J16" s="506"/>
      <c r="K16" s="30" t="s">
        <v>15</v>
      </c>
      <c r="L16" s="104" t="s">
        <v>16</v>
      </c>
      <c r="M16" s="31" t="s">
        <v>17</v>
      </c>
    </row>
    <row r="17" spans="2:13" ht="30.75" customHeight="1">
      <c r="B17" s="32">
        <v>1</v>
      </c>
      <c r="C17" s="23"/>
      <c r="D17" s="547" t="s">
        <v>172</v>
      </c>
      <c r="E17" s="548"/>
      <c r="F17" s="548"/>
      <c r="G17" s="548"/>
      <c r="H17" s="548"/>
      <c r="I17" s="548"/>
      <c r="J17" s="583"/>
      <c r="K17" s="169"/>
      <c r="L17" s="165"/>
      <c r="M17" s="172"/>
    </row>
    <row r="18" spans="2:13" ht="18" customHeight="1">
      <c r="B18" s="22"/>
      <c r="C18" s="36"/>
      <c r="D18" s="109"/>
      <c r="E18" s="110"/>
      <c r="F18" s="110"/>
      <c r="G18" s="110"/>
      <c r="H18" s="110"/>
      <c r="I18" s="110"/>
      <c r="J18" s="111"/>
      <c r="K18" s="170"/>
      <c r="L18" s="166"/>
      <c r="M18" s="173"/>
    </row>
    <row r="19" spans="2:13" ht="18" customHeight="1">
      <c r="B19" s="22"/>
      <c r="C19" s="36"/>
      <c r="D19" s="115" t="s">
        <v>102</v>
      </c>
      <c r="E19" s="119"/>
      <c r="F19" s="119"/>
      <c r="G19" s="119"/>
      <c r="H19" s="119"/>
      <c r="I19" s="119"/>
      <c r="J19" s="90"/>
      <c r="K19" s="170"/>
      <c r="L19" s="166"/>
      <c r="M19" s="173"/>
    </row>
    <row r="20" spans="2:13" ht="20.25">
      <c r="B20" s="22"/>
      <c r="C20" s="77"/>
      <c r="D20" s="120" t="s">
        <v>105</v>
      </c>
      <c r="E20" s="119"/>
      <c r="F20" s="119"/>
      <c r="G20" s="119"/>
      <c r="H20" s="119"/>
      <c r="I20" s="119"/>
      <c r="J20" s="107"/>
      <c r="K20" s="171"/>
      <c r="L20" s="166"/>
      <c r="M20" s="173"/>
    </row>
    <row r="21" spans="2:13" ht="18" customHeight="1">
      <c r="B21" s="22"/>
      <c r="C21" s="36"/>
      <c r="D21" s="120" t="s">
        <v>103</v>
      </c>
      <c r="E21" s="119"/>
      <c r="F21" s="119"/>
      <c r="G21" s="119"/>
      <c r="H21" s="119"/>
      <c r="I21" s="119"/>
      <c r="J21" s="108"/>
      <c r="K21" s="171"/>
      <c r="L21" s="166"/>
      <c r="M21" s="173"/>
    </row>
    <row r="22" spans="2:13" ht="18.75">
      <c r="B22" s="22"/>
      <c r="C22" s="36"/>
      <c r="D22" s="120" t="s">
        <v>104</v>
      </c>
      <c r="E22" s="119"/>
      <c r="F22" s="119"/>
      <c r="G22" s="119"/>
      <c r="H22" s="119"/>
      <c r="I22" s="119"/>
      <c r="J22" s="64"/>
      <c r="K22" s="171"/>
      <c r="L22" s="166"/>
      <c r="M22" s="173"/>
    </row>
    <row r="23" spans="2:13" ht="18" customHeight="1">
      <c r="B23" s="22"/>
      <c r="C23" s="77"/>
      <c r="D23" s="120" t="s">
        <v>174</v>
      </c>
      <c r="E23" s="119"/>
      <c r="F23" s="119"/>
      <c r="G23" s="119"/>
      <c r="H23" s="119"/>
      <c r="I23" s="119"/>
      <c r="J23" s="107"/>
      <c r="K23" s="171"/>
      <c r="L23" s="166"/>
      <c r="M23" s="173"/>
    </row>
    <row r="24" spans="2:13" ht="18" customHeight="1">
      <c r="B24" s="22"/>
      <c r="C24" s="36"/>
      <c r="D24" s="120" t="s">
        <v>178</v>
      </c>
      <c r="E24" s="119"/>
      <c r="F24" s="119"/>
      <c r="G24" s="119"/>
      <c r="H24" s="119"/>
      <c r="I24" s="119"/>
      <c r="J24" s="108"/>
      <c r="K24" s="171"/>
      <c r="L24" s="166"/>
      <c r="M24" s="173"/>
    </row>
    <row r="25" spans="2:13" ht="21.75">
      <c r="B25" s="40"/>
      <c r="C25" s="41"/>
      <c r="D25" s="116"/>
      <c r="E25" s="119"/>
      <c r="F25" s="119"/>
      <c r="G25" s="119"/>
      <c r="H25" s="119"/>
      <c r="I25" s="119"/>
      <c r="J25" s="108"/>
      <c r="K25" s="171"/>
      <c r="L25" s="167"/>
      <c r="M25" s="47"/>
    </row>
    <row r="26" spans="2:13" ht="18" customHeight="1">
      <c r="B26" s="22"/>
      <c r="C26" s="77"/>
      <c r="D26" s="118" t="s">
        <v>1</v>
      </c>
      <c r="E26" s="118" t="s">
        <v>41</v>
      </c>
      <c r="F26" s="118" t="s">
        <v>46</v>
      </c>
      <c r="G26" s="564" t="s">
        <v>42</v>
      </c>
      <c r="H26" s="564"/>
      <c r="I26" s="118" t="s">
        <v>46</v>
      </c>
      <c r="J26" s="118" t="s">
        <v>47</v>
      </c>
      <c r="K26" s="208"/>
      <c r="L26" s="166"/>
      <c r="M26" s="173"/>
    </row>
    <row r="27" spans="2:13" ht="49.5" customHeight="1">
      <c r="B27" s="22"/>
      <c r="C27" s="77" t="s">
        <v>87</v>
      </c>
      <c r="D27" s="117" t="s">
        <v>48</v>
      </c>
      <c r="E27" s="117" t="s">
        <v>70</v>
      </c>
      <c r="F27" s="117" t="s">
        <v>96</v>
      </c>
      <c r="G27" s="565" t="s">
        <v>168</v>
      </c>
      <c r="H27" s="565"/>
      <c r="I27" s="117" t="s">
        <v>48</v>
      </c>
      <c r="J27" s="117">
        <v>4</v>
      </c>
      <c r="K27" s="183">
        <f t="shared" ref="K27" si="0">J27</f>
        <v>4</v>
      </c>
      <c r="L27" s="207">
        <v>50800</v>
      </c>
      <c r="M27" s="179">
        <f t="shared" ref="M27" si="1">L27*K27</f>
        <v>203200</v>
      </c>
    </row>
    <row r="28" spans="2:13" ht="18" customHeight="1">
      <c r="B28" s="22"/>
      <c r="C28" s="36"/>
      <c r="D28" s="115"/>
      <c r="E28" s="119"/>
      <c r="F28" s="119"/>
      <c r="G28" s="119"/>
      <c r="H28" s="119"/>
      <c r="I28" s="119"/>
      <c r="J28" s="64"/>
      <c r="K28" s="135"/>
      <c r="L28" s="168"/>
      <c r="M28" s="47"/>
    </row>
    <row r="29" spans="2:13" ht="18" customHeight="1">
      <c r="B29" s="22"/>
      <c r="C29" s="36"/>
      <c r="D29" s="115" t="s">
        <v>102</v>
      </c>
      <c r="E29" s="119"/>
      <c r="F29" s="119"/>
      <c r="G29" s="119"/>
      <c r="H29" s="119"/>
      <c r="I29" s="119"/>
      <c r="J29" s="64"/>
      <c r="K29" s="135"/>
      <c r="L29" s="168"/>
      <c r="M29" s="47"/>
    </row>
    <row r="30" spans="2:13" ht="18" customHeight="1">
      <c r="B30" s="22"/>
      <c r="C30" s="36"/>
      <c r="D30" s="120" t="s">
        <v>175</v>
      </c>
      <c r="E30" s="119"/>
      <c r="F30" s="119"/>
      <c r="G30" s="119"/>
      <c r="H30" s="119"/>
      <c r="I30" s="119"/>
      <c r="J30" s="64"/>
      <c r="K30" s="135"/>
      <c r="L30" s="168"/>
      <c r="M30" s="47"/>
    </row>
    <row r="31" spans="2:13" ht="18" customHeight="1">
      <c r="B31" s="22"/>
      <c r="C31" s="36"/>
      <c r="D31" s="120" t="s">
        <v>176</v>
      </c>
      <c r="E31" s="119"/>
      <c r="F31" s="119"/>
      <c r="G31" s="119"/>
      <c r="H31" s="119"/>
      <c r="I31" s="119"/>
      <c r="J31" s="64"/>
      <c r="K31" s="135"/>
      <c r="L31" s="168"/>
      <c r="M31" s="47"/>
    </row>
    <row r="32" spans="2:13" ht="18" customHeight="1">
      <c r="B32" s="22"/>
      <c r="C32" s="36"/>
      <c r="D32" s="120" t="s">
        <v>177</v>
      </c>
      <c r="E32" s="119"/>
      <c r="F32" s="119"/>
      <c r="G32" s="119"/>
      <c r="H32" s="119"/>
      <c r="I32" s="119"/>
      <c r="J32" s="64"/>
      <c r="K32" s="135"/>
      <c r="L32" s="168"/>
      <c r="M32" s="47"/>
    </row>
    <row r="33" spans="2:13" ht="18" customHeight="1">
      <c r="B33" s="22"/>
      <c r="C33" s="36"/>
      <c r="D33" s="120" t="s">
        <v>174</v>
      </c>
      <c r="E33" s="119"/>
      <c r="F33" s="119"/>
      <c r="G33" s="119"/>
      <c r="H33" s="119"/>
      <c r="I33" s="119"/>
      <c r="J33" s="64"/>
      <c r="K33" s="135"/>
      <c r="L33" s="168"/>
      <c r="M33" s="47"/>
    </row>
    <row r="34" spans="2:13" ht="18" customHeight="1">
      <c r="B34" s="22"/>
      <c r="C34" s="36"/>
      <c r="D34" s="120" t="s">
        <v>178</v>
      </c>
      <c r="E34" s="119"/>
      <c r="F34" s="119"/>
      <c r="G34" s="119"/>
      <c r="H34" s="119"/>
      <c r="I34" s="119"/>
      <c r="J34" s="64"/>
      <c r="K34" s="135"/>
      <c r="L34" s="168"/>
      <c r="M34" s="47"/>
    </row>
    <row r="35" spans="2:13" ht="18" customHeight="1">
      <c r="B35" s="22"/>
      <c r="C35" s="36"/>
      <c r="D35" s="115"/>
      <c r="E35" s="119"/>
      <c r="F35" s="119"/>
      <c r="G35" s="119"/>
      <c r="H35" s="119"/>
      <c r="I35" s="119"/>
      <c r="J35" s="64"/>
      <c r="K35" s="135"/>
      <c r="L35" s="168"/>
      <c r="M35" s="47"/>
    </row>
    <row r="36" spans="2:13" ht="18" customHeight="1">
      <c r="B36" s="22"/>
      <c r="C36" s="77"/>
      <c r="D36" s="118" t="s">
        <v>1</v>
      </c>
      <c r="E36" s="118" t="s">
        <v>41</v>
      </c>
      <c r="F36" s="118" t="s">
        <v>46</v>
      </c>
      <c r="G36" s="564" t="s">
        <v>42</v>
      </c>
      <c r="H36" s="564"/>
      <c r="I36" s="118" t="s">
        <v>46</v>
      </c>
      <c r="J36" s="118" t="s">
        <v>47</v>
      </c>
      <c r="K36" s="208"/>
      <c r="L36" s="166"/>
      <c r="M36" s="173"/>
    </row>
    <row r="37" spans="2:13" ht="50.25" customHeight="1">
      <c r="B37" s="22"/>
      <c r="C37" s="77" t="s">
        <v>87</v>
      </c>
      <c r="D37" s="117" t="s">
        <v>48</v>
      </c>
      <c r="E37" s="117" t="s">
        <v>70</v>
      </c>
      <c r="F37" s="117" t="s">
        <v>96</v>
      </c>
      <c r="G37" s="565" t="s">
        <v>168</v>
      </c>
      <c r="H37" s="565"/>
      <c r="I37" s="117" t="s">
        <v>48</v>
      </c>
      <c r="J37" s="117">
        <v>1</v>
      </c>
      <c r="K37" s="183">
        <f t="shared" ref="K37" si="2">J37</f>
        <v>1</v>
      </c>
      <c r="L37" s="207">
        <v>26400</v>
      </c>
      <c r="M37" s="179">
        <f t="shared" ref="M37" si="3">L37*K37</f>
        <v>26400</v>
      </c>
    </row>
    <row r="38" spans="2:13" ht="18" customHeight="1">
      <c r="B38" s="22"/>
      <c r="C38" s="36"/>
      <c r="D38" s="196"/>
      <c r="E38" s="193"/>
      <c r="F38" s="193"/>
      <c r="G38" s="193"/>
      <c r="H38" s="193"/>
      <c r="I38" s="193"/>
      <c r="J38" s="194"/>
      <c r="K38" s="135"/>
      <c r="L38" s="168"/>
      <c r="M38" s="47"/>
    </row>
    <row r="39" spans="2:13" ht="18" customHeight="1">
      <c r="B39" s="22"/>
      <c r="C39" s="36"/>
      <c r="D39" s="115" t="s">
        <v>38</v>
      </c>
      <c r="E39" s="119"/>
      <c r="F39" s="119"/>
      <c r="G39" s="119"/>
      <c r="H39" s="119"/>
      <c r="I39" s="119"/>
      <c r="J39" s="107"/>
      <c r="K39" s="135"/>
      <c r="L39" s="168"/>
      <c r="M39" s="47"/>
    </row>
    <row r="40" spans="2:13" ht="18" customHeight="1">
      <c r="B40" s="22"/>
      <c r="C40" s="36"/>
      <c r="D40" s="574" t="s">
        <v>230</v>
      </c>
      <c r="E40" s="575"/>
      <c r="F40" s="575"/>
      <c r="G40" s="575"/>
      <c r="H40" s="575"/>
      <c r="I40" s="575"/>
      <c r="J40" s="576"/>
      <c r="K40" s="209"/>
      <c r="L40" s="154"/>
      <c r="M40" s="47"/>
    </row>
    <row r="41" spans="2:13" ht="37.5" customHeight="1">
      <c r="B41" s="22"/>
      <c r="C41" s="36"/>
      <c r="D41" s="502" t="s">
        <v>106</v>
      </c>
      <c r="E41" s="503"/>
      <c r="F41" s="503"/>
      <c r="G41" s="503"/>
      <c r="H41" s="503"/>
      <c r="I41" s="503"/>
      <c r="J41" s="584"/>
      <c r="K41" s="210"/>
      <c r="L41" s="152"/>
      <c r="M41" s="47"/>
    </row>
    <row r="42" spans="2:13" ht="24" customHeight="1">
      <c r="B42" s="22"/>
      <c r="C42" s="36"/>
      <c r="D42" s="585" t="s">
        <v>107</v>
      </c>
      <c r="E42" s="586"/>
      <c r="F42" s="586"/>
      <c r="G42" s="586"/>
      <c r="H42" s="586"/>
      <c r="I42" s="586"/>
      <c r="J42" s="587"/>
      <c r="K42" s="209"/>
      <c r="L42" s="154"/>
      <c r="M42" s="47"/>
    </row>
    <row r="43" spans="2:13" ht="39.75" customHeight="1">
      <c r="B43" s="22"/>
      <c r="C43" s="36"/>
      <c r="D43" s="588" t="s">
        <v>231</v>
      </c>
      <c r="E43" s="589"/>
      <c r="F43" s="589"/>
      <c r="G43" s="589"/>
      <c r="H43" s="589"/>
      <c r="I43" s="589"/>
      <c r="J43" s="590"/>
      <c r="K43" s="210"/>
      <c r="L43" s="152"/>
      <c r="M43" s="47"/>
    </row>
    <row r="44" spans="2:13" ht="18">
      <c r="B44" s="40"/>
      <c r="C44" s="36"/>
      <c r="D44" s="591" t="s">
        <v>108</v>
      </c>
      <c r="E44" s="592"/>
      <c r="F44" s="592"/>
      <c r="G44" s="592"/>
      <c r="H44" s="592"/>
      <c r="I44" s="592"/>
      <c r="J44" s="593"/>
      <c r="K44" s="211"/>
      <c r="L44" s="153"/>
      <c r="M44" s="47"/>
    </row>
    <row r="45" spans="2:13" ht="21.75" customHeight="1">
      <c r="B45" s="40"/>
      <c r="C45" s="36"/>
      <c r="D45" s="591" t="s">
        <v>109</v>
      </c>
      <c r="E45" s="592"/>
      <c r="F45" s="592"/>
      <c r="G45" s="592"/>
      <c r="H45" s="592"/>
      <c r="I45" s="592"/>
      <c r="J45" s="593"/>
      <c r="K45" s="211"/>
      <c r="L45" s="153"/>
      <c r="M45" s="47"/>
    </row>
    <row r="46" spans="2:13" ht="19.5" customHeight="1">
      <c r="B46" s="48"/>
      <c r="C46" s="36"/>
      <c r="D46" s="502" t="s">
        <v>232</v>
      </c>
      <c r="E46" s="503"/>
      <c r="F46" s="503"/>
      <c r="G46" s="503"/>
      <c r="H46" s="503"/>
      <c r="I46" s="503"/>
      <c r="J46" s="584"/>
      <c r="K46" s="210"/>
      <c r="L46" s="152"/>
      <c r="M46" s="47"/>
    </row>
    <row r="47" spans="2:13" ht="20.25">
      <c r="B47" s="48"/>
      <c r="C47" s="36"/>
      <c r="D47" s="116" t="s">
        <v>233</v>
      </c>
      <c r="E47" s="119"/>
      <c r="F47" s="119"/>
      <c r="G47" s="119"/>
      <c r="H47" s="119"/>
      <c r="I47" s="119"/>
      <c r="J47" s="112"/>
      <c r="K47" s="135"/>
      <c r="L47" s="80"/>
      <c r="M47" s="47"/>
    </row>
    <row r="48" spans="2:13" ht="20.25">
      <c r="B48" s="48"/>
      <c r="C48" s="36"/>
      <c r="D48" s="116"/>
      <c r="E48" s="119"/>
      <c r="F48" s="119"/>
      <c r="G48" s="119"/>
      <c r="H48" s="119"/>
      <c r="I48" s="119"/>
      <c r="J48" s="112"/>
      <c r="K48" s="135"/>
      <c r="L48" s="80"/>
      <c r="M48" s="47"/>
    </row>
    <row r="49" spans="2:13" ht="18.75">
      <c r="B49" s="22"/>
      <c r="C49" s="36"/>
      <c r="D49" s="213" t="s">
        <v>39</v>
      </c>
      <c r="E49" s="119"/>
      <c r="F49" s="119"/>
      <c r="G49" s="119"/>
      <c r="H49" s="119"/>
      <c r="I49" s="119"/>
      <c r="J49" s="64"/>
      <c r="K49" s="135"/>
      <c r="L49" s="80"/>
      <c r="M49" s="47"/>
    </row>
    <row r="50" spans="2:13" ht="20.25">
      <c r="B50" s="22"/>
      <c r="C50" s="36"/>
      <c r="D50" s="116" t="s">
        <v>210</v>
      </c>
      <c r="E50" s="119"/>
      <c r="F50" s="119"/>
      <c r="G50" s="119"/>
      <c r="H50" s="119"/>
      <c r="I50" s="119"/>
      <c r="J50" s="113"/>
      <c r="K50" s="135"/>
      <c r="L50" s="80"/>
      <c r="M50" s="47"/>
    </row>
    <row r="51" spans="2:13" ht="18.75">
      <c r="B51" s="22"/>
      <c r="C51" s="36"/>
      <c r="D51" s="116"/>
      <c r="E51" s="119"/>
      <c r="F51" s="119"/>
      <c r="G51" s="119"/>
      <c r="H51" s="119"/>
      <c r="I51" s="119"/>
      <c r="J51" s="114"/>
      <c r="K51" s="135"/>
      <c r="L51" s="80"/>
      <c r="M51" s="47"/>
    </row>
    <row r="52" spans="2:13" ht="18.75">
      <c r="B52" s="22"/>
      <c r="C52" s="36"/>
      <c r="D52" s="214" t="s">
        <v>211</v>
      </c>
      <c r="E52" s="119"/>
      <c r="F52" s="119"/>
      <c r="G52" s="119"/>
      <c r="H52" s="119"/>
      <c r="I52" s="119"/>
      <c r="J52" s="63"/>
      <c r="K52" s="135"/>
      <c r="L52" s="80"/>
      <c r="M52" s="47"/>
    </row>
    <row r="53" spans="2:13" ht="18.75">
      <c r="B53" s="22"/>
      <c r="C53" s="36"/>
      <c r="D53" s="212" t="s">
        <v>209</v>
      </c>
      <c r="E53" s="119"/>
      <c r="F53" s="119"/>
      <c r="G53" s="119"/>
      <c r="H53" s="119"/>
      <c r="I53" s="119"/>
      <c r="J53" s="63"/>
      <c r="K53" s="135"/>
      <c r="L53" s="80"/>
      <c r="M53" s="47"/>
    </row>
    <row r="54" spans="2:13" ht="18.75" customHeight="1">
      <c r="B54" s="22"/>
      <c r="C54" s="36"/>
      <c r="D54" s="566" t="s">
        <v>32</v>
      </c>
      <c r="E54" s="567"/>
      <c r="F54" s="567"/>
      <c r="G54" s="567"/>
      <c r="H54" s="567"/>
      <c r="I54" s="567"/>
      <c r="J54" s="568"/>
      <c r="K54" s="136"/>
      <c r="L54" s="80"/>
      <c r="M54" s="162"/>
    </row>
    <row r="55" spans="2:13" ht="18">
      <c r="B55" s="49"/>
      <c r="C55" s="51"/>
      <c r="D55" s="65"/>
      <c r="E55" s="66"/>
      <c r="F55" s="66"/>
      <c r="G55" s="66"/>
      <c r="H55" s="66"/>
      <c r="I55" s="66"/>
      <c r="J55" s="67"/>
      <c r="K55" s="572" t="s">
        <v>20</v>
      </c>
      <c r="L55" s="462"/>
      <c r="M55" s="96">
        <f>SUM(M27:M41)</f>
        <v>229600</v>
      </c>
    </row>
    <row r="56" spans="2:13" ht="18">
      <c r="B56" s="526" t="s">
        <v>198</v>
      </c>
      <c r="C56" s="527"/>
      <c r="D56" s="528"/>
      <c r="E56" s="528"/>
      <c r="F56" s="528"/>
      <c r="G56" s="528"/>
      <c r="H56" s="528"/>
      <c r="I56" s="528"/>
      <c r="J56" s="528"/>
      <c r="K56" s="527"/>
      <c r="L56" s="527"/>
      <c r="M56" s="529"/>
    </row>
    <row r="57" spans="2:13" ht="15">
      <c r="B57" s="49" t="s">
        <v>18</v>
      </c>
      <c r="C57" s="21"/>
      <c r="D57" s="21"/>
      <c r="E57" s="21"/>
      <c r="F57" s="21"/>
      <c r="G57" s="21"/>
      <c r="H57" s="21"/>
      <c r="I57" s="21"/>
      <c r="J57" s="21"/>
      <c r="K57" s="21"/>
      <c r="L57" s="21"/>
      <c r="M57" s="50"/>
    </row>
    <row r="58" spans="2:13" ht="15">
      <c r="B58" s="49" t="s">
        <v>19</v>
      </c>
      <c r="C58" s="21"/>
      <c r="D58" s="21"/>
      <c r="E58" s="21"/>
      <c r="F58" s="21"/>
      <c r="G58" s="21"/>
      <c r="H58" s="21"/>
      <c r="I58" s="21"/>
      <c r="J58" s="21"/>
      <c r="K58" s="21"/>
      <c r="L58" s="21"/>
      <c r="M58" s="50"/>
    </row>
    <row r="59" spans="2:13" ht="15">
      <c r="B59" s="49"/>
      <c r="C59" s="21"/>
      <c r="D59" s="21"/>
      <c r="E59" s="21"/>
      <c r="F59" s="21"/>
      <c r="G59" s="21"/>
      <c r="H59" s="21"/>
      <c r="I59" s="21"/>
      <c r="J59" s="21" t="s">
        <v>23</v>
      </c>
      <c r="K59" s="21"/>
      <c r="L59" s="21"/>
      <c r="M59" s="50"/>
    </row>
    <row r="60" spans="2:13" ht="15">
      <c r="B60" s="49"/>
      <c r="C60" s="21"/>
      <c r="D60" s="21"/>
      <c r="E60" s="21"/>
      <c r="F60" s="21"/>
      <c r="G60" s="21"/>
      <c r="H60" s="21"/>
      <c r="I60" s="21"/>
      <c r="J60" s="21"/>
      <c r="K60" s="21"/>
      <c r="L60" s="21"/>
      <c r="M60" s="50"/>
    </row>
    <row r="61" spans="2:13" ht="15">
      <c r="B61" s="52" t="s">
        <v>22</v>
      </c>
      <c r="C61" s="21"/>
      <c r="D61" s="21"/>
      <c r="E61" s="21"/>
      <c r="F61" s="21"/>
      <c r="G61" s="21"/>
      <c r="H61" s="21"/>
      <c r="I61" s="21"/>
      <c r="J61" s="21"/>
      <c r="K61" s="21"/>
      <c r="L61" s="21"/>
      <c r="M61" s="50"/>
    </row>
    <row r="62" spans="2:13" ht="18.75" thickBot="1">
      <c r="B62" s="49"/>
      <c r="C62" s="53"/>
      <c r="D62" s="53"/>
      <c r="E62" s="53"/>
      <c r="F62" s="21"/>
      <c r="G62" s="21"/>
      <c r="H62" s="21"/>
      <c r="I62" s="54"/>
      <c r="J62" s="102" t="s">
        <v>93</v>
      </c>
      <c r="K62" s="54"/>
      <c r="L62" s="54"/>
      <c r="M62" s="50"/>
    </row>
    <row r="63" spans="2:13" ht="18">
      <c r="B63" s="49"/>
      <c r="C63" s="463" t="s">
        <v>21</v>
      </c>
      <c r="D63" s="463"/>
      <c r="E63" s="463"/>
      <c r="F63" s="55"/>
      <c r="G63" s="55"/>
      <c r="H63" s="21"/>
      <c r="I63" s="56"/>
      <c r="J63" s="103" t="s">
        <v>91</v>
      </c>
      <c r="K63" s="56"/>
      <c r="L63" s="56"/>
      <c r="M63" s="50"/>
    </row>
    <row r="64" spans="2:13" ht="18">
      <c r="B64" s="49"/>
      <c r="C64" s="55"/>
      <c r="D64" s="55"/>
      <c r="E64" s="55"/>
      <c r="F64" s="55"/>
      <c r="G64" s="55"/>
      <c r="H64" s="21"/>
      <c r="I64" s="56"/>
      <c r="J64" s="103"/>
      <c r="K64" s="56"/>
      <c r="L64" s="56"/>
      <c r="M64" s="50"/>
    </row>
    <row r="65" spans="2:13" ht="15.75" thickBot="1">
      <c r="B65" s="49"/>
      <c r="C65" s="53"/>
      <c r="D65" s="53"/>
      <c r="E65" s="53"/>
      <c r="F65" s="21"/>
      <c r="G65" s="21"/>
      <c r="H65" s="21"/>
      <c r="I65" s="21"/>
      <c r="J65" s="21"/>
      <c r="K65" s="21"/>
      <c r="L65" s="21"/>
      <c r="M65" s="50"/>
    </row>
    <row r="66" spans="2:13" ht="15">
      <c r="B66" s="57"/>
      <c r="C66" s="464" t="s">
        <v>1</v>
      </c>
      <c r="D66" s="464"/>
      <c r="E66" s="464"/>
      <c r="F66" s="58"/>
      <c r="G66" s="58"/>
      <c r="H66" s="59"/>
      <c r="I66" s="59"/>
      <c r="J66" s="59"/>
      <c r="K66" s="59"/>
      <c r="L66" s="59"/>
      <c r="M66" s="50"/>
    </row>
    <row r="67" spans="2:13" ht="18.75" thickBot="1">
      <c r="B67" s="97" t="s">
        <v>24</v>
      </c>
      <c r="C67" s="98"/>
      <c r="D67" s="98"/>
      <c r="E67" s="98"/>
      <c r="F67" s="98"/>
      <c r="G67" s="98"/>
      <c r="H67" s="98"/>
      <c r="I67" s="98" t="s">
        <v>25</v>
      </c>
      <c r="J67" s="53"/>
      <c r="K67" s="53"/>
      <c r="L67" s="53"/>
      <c r="M67" s="60"/>
    </row>
    <row r="68" spans="2:13" ht="18.75" thickBot="1">
      <c r="B68" s="97"/>
      <c r="C68" s="98"/>
      <c r="D68" s="98"/>
      <c r="E68" s="98"/>
      <c r="F68" s="98"/>
      <c r="G68" s="98"/>
      <c r="H68" s="98"/>
      <c r="I68" s="98"/>
      <c r="J68" s="53"/>
      <c r="K68" s="53"/>
      <c r="L68" s="53"/>
      <c r="M68" s="61"/>
    </row>
    <row r="69" spans="2:13" ht="18.75" thickBot="1">
      <c r="B69" s="99"/>
      <c r="C69" s="465" t="s">
        <v>73</v>
      </c>
      <c r="D69" s="465"/>
      <c r="E69" s="465"/>
      <c r="F69" s="100"/>
      <c r="G69" s="100"/>
      <c r="H69" s="98"/>
      <c r="I69" s="98" t="s">
        <v>26</v>
      </c>
      <c r="J69" s="53"/>
      <c r="K69" s="53"/>
      <c r="L69" s="53"/>
      <c r="M69" s="61"/>
    </row>
    <row r="70" spans="2:13" ht="18.75" thickBot="1">
      <c r="B70" s="476" t="s">
        <v>206</v>
      </c>
      <c r="C70" s="477"/>
      <c r="D70" s="477"/>
      <c r="E70" s="477"/>
      <c r="F70" s="477"/>
      <c r="G70" s="477"/>
      <c r="H70" s="101"/>
      <c r="I70" s="101"/>
      <c r="J70" s="53"/>
      <c r="K70" s="53"/>
      <c r="L70" s="53"/>
      <c r="M70" s="61"/>
    </row>
  </sheetData>
  <mergeCells count="44">
    <mergeCell ref="L2:M4"/>
    <mergeCell ref="J6:K7"/>
    <mergeCell ref="L6:M7"/>
    <mergeCell ref="J5:K5"/>
    <mergeCell ref="L5:M5"/>
    <mergeCell ref="C69:E69"/>
    <mergeCell ref="D54:J54"/>
    <mergeCell ref="D46:J46"/>
    <mergeCell ref="B70:G70"/>
    <mergeCell ref="K55:L55"/>
    <mergeCell ref="B56:M56"/>
    <mergeCell ref="C63:E63"/>
    <mergeCell ref="B14:B15"/>
    <mergeCell ref="C14:H15"/>
    <mergeCell ref="B7:B8"/>
    <mergeCell ref="C7:I8"/>
    <mergeCell ref="C66:E66"/>
    <mergeCell ref="D16:J16"/>
    <mergeCell ref="D17:J17"/>
    <mergeCell ref="G26:H26"/>
    <mergeCell ref="G27:H27"/>
    <mergeCell ref="G36:H36"/>
    <mergeCell ref="G37:H37"/>
    <mergeCell ref="D41:J41"/>
    <mergeCell ref="D42:J42"/>
    <mergeCell ref="D43:J43"/>
    <mergeCell ref="D44:J44"/>
    <mergeCell ref="D45:J45"/>
    <mergeCell ref="B2:B5"/>
    <mergeCell ref="C4:I5"/>
    <mergeCell ref="D40:J40"/>
    <mergeCell ref="I14:J14"/>
    <mergeCell ref="C2:I3"/>
    <mergeCell ref="J2:K4"/>
    <mergeCell ref="C6:I6"/>
    <mergeCell ref="K14:M14"/>
    <mergeCell ref="I15:J15"/>
    <mergeCell ref="K15:M15"/>
    <mergeCell ref="B9:B10"/>
    <mergeCell ref="C9:I10"/>
    <mergeCell ref="B12:M12"/>
    <mergeCell ref="J8:K10"/>
    <mergeCell ref="L8:M10"/>
    <mergeCell ref="B13:M13"/>
  </mergeCells>
  <hyperlinks>
    <hyperlink ref="C9" r:id="rId1" xr:uid="{7E090DB3-F9F8-4BE9-8796-7142839E85B5}"/>
  </hyperlinks>
  <printOptions horizontalCentered="1"/>
  <pageMargins left="0" right="0" top="0.25" bottom="0.25" header="0" footer="0"/>
  <pageSetup paperSize="9" scale="49" fitToWidth="0" fitToHeight="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EFD01-0663-4539-BCA9-59E6D33FDAF4}">
  <sheetPr>
    <pageSetUpPr fitToPage="1"/>
  </sheetPr>
  <dimension ref="B1:M56"/>
  <sheetViews>
    <sheetView tabSelected="1" view="pageBreakPreview" zoomScaleNormal="100" zoomScaleSheetLayoutView="100" workbookViewId="0">
      <selection activeCell="C7" sqref="C7:I8"/>
    </sheetView>
  </sheetViews>
  <sheetFormatPr defaultColWidth="9.140625" defaultRowHeight="14.25"/>
  <cols>
    <col min="1" max="1" width="15.42578125" style="1" customWidth="1"/>
    <col min="2" max="2" width="16.140625" style="2" customWidth="1"/>
    <col min="3" max="3" width="9.5703125" style="1" customWidth="1"/>
    <col min="4" max="4" width="13.5703125" style="1" customWidth="1"/>
    <col min="5" max="5" width="25" style="1" customWidth="1"/>
    <col min="6" max="6" width="24.42578125" style="1" customWidth="1"/>
    <col min="7" max="9" width="22.5703125" style="1" customWidth="1"/>
    <col min="10" max="10" width="34" style="1" customWidth="1"/>
    <col min="11" max="11" width="15.85546875" style="1" customWidth="1"/>
    <col min="12" max="12" width="17.5703125" style="1" customWidth="1"/>
    <col min="13" max="13" width="20.5703125" style="1" customWidth="1"/>
    <col min="14" max="16384" width="9.140625" style="1"/>
  </cols>
  <sheetData>
    <row r="1" spans="2:13" ht="15" thickBot="1">
      <c r="B1" s="1"/>
    </row>
    <row r="2" spans="2:13" ht="25.5" customHeight="1">
      <c r="B2" s="307"/>
      <c r="C2" s="310" t="s">
        <v>0</v>
      </c>
      <c r="D2" s="311"/>
      <c r="E2" s="311"/>
      <c r="F2" s="311"/>
      <c r="G2" s="311"/>
      <c r="H2" s="311"/>
      <c r="I2" s="312"/>
      <c r="J2" s="316" t="s">
        <v>181</v>
      </c>
      <c r="K2" s="317"/>
      <c r="L2" s="322" t="s">
        <v>246</v>
      </c>
      <c r="M2" s="323"/>
    </row>
    <row r="3" spans="2:13" ht="14.25" customHeight="1">
      <c r="B3" s="308"/>
      <c r="C3" s="313"/>
      <c r="D3" s="314"/>
      <c r="E3" s="314"/>
      <c r="F3" s="314"/>
      <c r="G3" s="314"/>
      <c r="H3" s="314"/>
      <c r="I3" s="315"/>
      <c r="J3" s="318"/>
      <c r="K3" s="319"/>
      <c r="L3" s="324"/>
      <c r="M3" s="325"/>
    </row>
    <row r="4" spans="2:13" ht="24.75" customHeight="1">
      <c r="B4" s="308"/>
      <c r="C4" s="328" t="s">
        <v>27</v>
      </c>
      <c r="D4" s="329"/>
      <c r="E4" s="329"/>
      <c r="F4" s="329"/>
      <c r="G4" s="329"/>
      <c r="H4" s="329"/>
      <c r="I4" s="330"/>
      <c r="J4" s="320"/>
      <c r="K4" s="321"/>
      <c r="L4" s="326"/>
      <c r="M4" s="327"/>
    </row>
    <row r="5" spans="2:13" ht="30" customHeight="1">
      <c r="B5" s="309"/>
      <c r="C5" s="331"/>
      <c r="D5" s="332"/>
      <c r="E5" s="332"/>
      <c r="F5" s="332"/>
      <c r="G5" s="332"/>
      <c r="H5" s="332"/>
      <c r="I5" s="333"/>
      <c r="J5" s="334" t="s">
        <v>1</v>
      </c>
      <c r="K5" s="335"/>
      <c r="L5" s="336" t="s">
        <v>247</v>
      </c>
      <c r="M5" s="337"/>
    </row>
    <row r="6" spans="2:13" ht="33.75" customHeight="1">
      <c r="B6" s="126" t="s">
        <v>3</v>
      </c>
      <c r="C6" s="273" t="s">
        <v>251</v>
      </c>
      <c r="D6" s="274"/>
      <c r="E6" s="274"/>
      <c r="F6" s="274"/>
      <c r="G6" s="274"/>
      <c r="H6" s="274"/>
      <c r="I6" s="275"/>
      <c r="J6" s="276" t="s">
        <v>4</v>
      </c>
      <c r="K6" s="277"/>
      <c r="L6" s="280" t="s">
        <v>260</v>
      </c>
      <c r="M6" s="281"/>
    </row>
    <row r="7" spans="2:13" ht="42" customHeight="1">
      <c r="B7" s="284" t="s">
        <v>2</v>
      </c>
      <c r="C7" s="286" t="s">
        <v>252</v>
      </c>
      <c r="D7" s="286"/>
      <c r="E7" s="286"/>
      <c r="F7" s="286"/>
      <c r="G7" s="286"/>
      <c r="H7" s="286"/>
      <c r="I7" s="286"/>
      <c r="J7" s="278"/>
      <c r="K7" s="279"/>
      <c r="L7" s="282"/>
      <c r="M7" s="283"/>
    </row>
    <row r="8" spans="2:13" ht="3.75" customHeight="1">
      <c r="B8" s="285"/>
      <c r="C8" s="286"/>
      <c r="D8" s="286"/>
      <c r="E8" s="286"/>
      <c r="F8" s="286"/>
      <c r="G8" s="286"/>
      <c r="H8" s="286"/>
      <c r="I8" s="286"/>
      <c r="J8" s="276" t="s">
        <v>5</v>
      </c>
      <c r="K8" s="277"/>
      <c r="L8" s="291" t="s">
        <v>255</v>
      </c>
      <c r="M8" s="292"/>
    </row>
    <row r="9" spans="2:13" ht="21.75" customHeight="1">
      <c r="B9" s="297" t="s">
        <v>80</v>
      </c>
      <c r="C9" s="299" t="s">
        <v>253</v>
      </c>
      <c r="D9" s="300"/>
      <c r="E9" s="300"/>
      <c r="F9" s="300"/>
      <c r="G9" s="300"/>
      <c r="H9" s="300"/>
      <c r="I9" s="301"/>
      <c r="J9" s="287"/>
      <c r="K9" s="288"/>
      <c r="L9" s="293"/>
      <c r="M9" s="294"/>
    </row>
    <row r="10" spans="2:13" ht="49.5" customHeight="1" thickBot="1">
      <c r="B10" s="298"/>
      <c r="C10" s="302"/>
      <c r="D10" s="303"/>
      <c r="E10" s="303"/>
      <c r="F10" s="303"/>
      <c r="G10" s="303"/>
      <c r="H10" s="303"/>
      <c r="I10" s="304"/>
      <c r="J10" s="289"/>
      <c r="K10" s="290"/>
      <c r="L10" s="295"/>
      <c r="M10" s="296"/>
    </row>
    <row r="11" spans="2:13" ht="3" customHeight="1" thickBot="1">
      <c r="B11" s="4"/>
      <c r="C11" s="5"/>
      <c r="D11" s="5"/>
      <c r="E11" s="5"/>
      <c r="F11" s="5"/>
      <c r="G11" s="5"/>
      <c r="H11" s="5"/>
      <c r="I11" s="5"/>
      <c r="J11" s="5"/>
      <c r="K11" s="5"/>
      <c r="L11" s="6"/>
      <c r="M11" s="7"/>
    </row>
    <row r="12" spans="2:13">
      <c r="B12" s="338" t="s">
        <v>7</v>
      </c>
      <c r="C12" s="339"/>
      <c r="D12" s="339"/>
      <c r="E12" s="339"/>
      <c r="F12" s="339"/>
      <c r="G12" s="339"/>
      <c r="H12" s="339"/>
      <c r="I12" s="339"/>
      <c r="J12" s="339"/>
      <c r="K12" s="339"/>
      <c r="L12" s="339"/>
      <c r="M12" s="340"/>
    </row>
    <row r="13" spans="2:13" ht="15.75">
      <c r="B13" s="341" t="s">
        <v>8</v>
      </c>
      <c r="C13" s="342"/>
      <c r="D13" s="342"/>
      <c r="E13" s="342"/>
      <c r="F13" s="342"/>
      <c r="G13" s="342"/>
      <c r="H13" s="342"/>
      <c r="I13" s="342"/>
      <c r="J13" s="342"/>
      <c r="K13" s="342"/>
      <c r="L13" s="342"/>
      <c r="M13" s="343"/>
    </row>
    <row r="14" spans="2:13" ht="72" customHeight="1">
      <c r="B14" s="344" t="s">
        <v>9</v>
      </c>
      <c r="C14" s="280" t="s">
        <v>268</v>
      </c>
      <c r="D14" s="346"/>
      <c r="E14" s="346"/>
      <c r="F14" s="346"/>
      <c r="G14" s="346"/>
      <c r="H14" s="347"/>
      <c r="I14" s="334" t="s">
        <v>10</v>
      </c>
      <c r="J14" s="335"/>
      <c r="K14" s="350" t="s">
        <v>249</v>
      </c>
      <c r="L14" s="351"/>
      <c r="M14" s="352"/>
    </row>
    <row r="15" spans="2:13" ht="39.75" customHeight="1">
      <c r="B15" s="345"/>
      <c r="C15" s="282"/>
      <c r="D15" s="348"/>
      <c r="E15" s="348"/>
      <c r="F15" s="348"/>
      <c r="G15" s="348"/>
      <c r="H15" s="349"/>
      <c r="I15" s="334" t="s">
        <v>11</v>
      </c>
      <c r="J15" s="335"/>
      <c r="K15" s="353" t="s">
        <v>28</v>
      </c>
      <c r="L15" s="354"/>
      <c r="M15" s="355"/>
    </row>
    <row r="16" spans="2:13" ht="24.75" customHeight="1">
      <c r="B16" s="242" t="s">
        <v>12</v>
      </c>
      <c r="C16" s="243" t="s">
        <v>13</v>
      </c>
      <c r="D16" s="363" t="s">
        <v>14</v>
      </c>
      <c r="E16" s="364"/>
      <c r="F16" s="364"/>
      <c r="G16" s="364"/>
      <c r="H16" s="364"/>
      <c r="I16" s="364"/>
      <c r="J16" s="365"/>
      <c r="K16" s="245" t="s">
        <v>15</v>
      </c>
      <c r="L16" s="244" t="s">
        <v>16</v>
      </c>
      <c r="M16" s="246" t="s">
        <v>17</v>
      </c>
    </row>
    <row r="17" spans="2:13" ht="14.25" customHeight="1">
      <c r="B17" s="18"/>
      <c r="C17" s="232"/>
      <c r="D17" s="366" t="s">
        <v>248</v>
      </c>
      <c r="E17" s="366"/>
      <c r="F17" s="366"/>
      <c r="G17" s="366"/>
      <c r="H17" s="366"/>
      <c r="I17" s="366"/>
      <c r="J17" s="367"/>
      <c r="K17" s="10"/>
      <c r="L17" s="191"/>
      <c r="M17" s="13"/>
    </row>
    <row r="18" spans="2:13" ht="47.25" customHeight="1">
      <c r="B18" s="12"/>
      <c r="C18" s="19"/>
      <c r="D18" s="368"/>
      <c r="E18" s="368"/>
      <c r="F18" s="368"/>
      <c r="G18" s="368"/>
      <c r="H18" s="368"/>
      <c r="I18" s="368"/>
      <c r="J18" s="368"/>
      <c r="K18" s="20"/>
      <c r="L18" s="93"/>
      <c r="M18" s="11"/>
    </row>
    <row r="19" spans="2:13" ht="24.75" customHeight="1">
      <c r="B19" s="12"/>
      <c r="C19" s="19"/>
      <c r="D19" s="239"/>
      <c r="E19" s="239"/>
      <c r="F19" s="239"/>
      <c r="G19" s="239"/>
      <c r="H19" s="239"/>
      <c r="I19" s="239"/>
      <c r="J19" s="239"/>
      <c r="K19" s="20"/>
      <c r="L19" s="93"/>
      <c r="M19" s="11"/>
    </row>
    <row r="20" spans="2:13" ht="31.5" customHeight="1">
      <c r="B20" s="12"/>
      <c r="C20" s="19"/>
      <c r="D20" s="369" t="s">
        <v>238</v>
      </c>
      <c r="E20" s="370"/>
      <c r="F20" s="372" t="s">
        <v>250</v>
      </c>
      <c r="G20" s="372"/>
      <c r="H20" s="373" t="s">
        <v>254</v>
      </c>
      <c r="I20" s="374"/>
      <c r="J20" s="375"/>
      <c r="K20" s="20"/>
      <c r="L20" s="93"/>
      <c r="M20" s="11"/>
    </row>
    <row r="21" spans="2:13" ht="37.5" customHeight="1">
      <c r="B21" s="12"/>
      <c r="C21" s="19"/>
      <c r="D21" s="369" t="s">
        <v>239</v>
      </c>
      <c r="E21" s="370"/>
      <c r="F21" s="370" t="s">
        <v>256</v>
      </c>
      <c r="G21" s="370"/>
      <c r="H21" s="370"/>
      <c r="I21" s="370"/>
      <c r="J21" s="371"/>
      <c r="K21" s="20"/>
      <c r="L21" s="93"/>
      <c r="M21" s="11"/>
    </row>
    <row r="22" spans="2:13" ht="41.25" customHeight="1">
      <c r="B22" s="247" t="s">
        <v>263</v>
      </c>
      <c r="C22" s="133" t="s">
        <v>85</v>
      </c>
      <c r="D22" s="386" t="s">
        <v>257</v>
      </c>
      <c r="E22" s="387"/>
      <c r="F22" s="387"/>
      <c r="G22" s="387"/>
      <c r="H22" s="387"/>
      <c r="I22" s="387"/>
      <c r="J22" s="388"/>
      <c r="K22" s="20"/>
      <c r="L22" s="93"/>
      <c r="M22" s="248" t="s">
        <v>259</v>
      </c>
    </row>
    <row r="23" spans="2:13" ht="40.5">
      <c r="B23" s="12"/>
      <c r="C23" s="8"/>
      <c r="D23" s="145" t="s">
        <v>29</v>
      </c>
      <c r="E23" s="81" t="s">
        <v>34</v>
      </c>
      <c r="F23" s="81" t="s">
        <v>33</v>
      </c>
      <c r="G23" s="81" t="s">
        <v>266</v>
      </c>
      <c r="H23" s="353" t="s">
        <v>30</v>
      </c>
      <c r="I23" s="398"/>
      <c r="J23" s="81" t="s">
        <v>265</v>
      </c>
      <c r="K23" s="240"/>
      <c r="L23" s="241"/>
      <c r="M23" s="248"/>
    </row>
    <row r="24" spans="2:13" ht="74.25" customHeight="1">
      <c r="B24" s="12"/>
      <c r="C24" s="8"/>
      <c r="D24" s="81"/>
      <c r="E24" s="81"/>
      <c r="F24" s="81"/>
      <c r="G24" s="81"/>
      <c r="H24" s="81"/>
      <c r="I24" s="81"/>
      <c r="J24" s="81"/>
      <c r="K24" s="240"/>
      <c r="L24" s="241"/>
      <c r="M24" s="248"/>
    </row>
    <row r="25" spans="2:13" ht="34.5" customHeight="1">
      <c r="B25" s="12"/>
      <c r="C25" s="14"/>
      <c r="D25" s="269"/>
      <c r="E25" s="272"/>
      <c r="F25" s="272"/>
      <c r="G25" s="272"/>
      <c r="H25" s="272"/>
      <c r="I25" s="272"/>
      <c r="J25" s="270"/>
      <c r="K25" s="241"/>
      <c r="L25" s="241"/>
      <c r="M25" s="248"/>
    </row>
    <row r="26" spans="2:13" ht="30" customHeight="1">
      <c r="B26" s="12"/>
      <c r="C26" s="19"/>
      <c r="D26" s="389" t="s">
        <v>258</v>
      </c>
      <c r="E26" s="390"/>
      <c r="F26" s="390"/>
      <c r="G26" s="390"/>
      <c r="H26" s="390"/>
      <c r="I26" s="390"/>
      <c r="J26" s="391"/>
      <c r="K26" s="20"/>
      <c r="L26" s="93"/>
      <c r="M26" s="251"/>
    </row>
    <row r="27" spans="2:13" ht="40.5">
      <c r="B27" s="12"/>
      <c r="C27" s="8"/>
      <c r="D27" s="81" t="s">
        <v>29</v>
      </c>
      <c r="E27" s="81" t="s">
        <v>234</v>
      </c>
      <c r="F27" s="81" t="s">
        <v>235</v>
      </c>
      <c r="G27" s="81" t="s">
        <v>236</v>
      </c>
      <c r="H27" s="81" t="s">
        <v>237</v>
      </c>
      <c r="I27" s="81" t="s">
        <v>267</v>
      </c>
      <c r="J27" s="81" t="s">
        <v>265</v>
      </c>
      <c r="K27" s="240"/>
      <c r="L27" s="241"/>
      <c r="M27" s="248"/>
    </row>
    <row r="28" spans="2:13" ht="74.25" customHeight="1">
      <c r="B28" s="12"/>
      <c r="C28" s="133"/>
      <c r="D28" s="236"/>
      <c r="E28" s="82"/>
      <c r="F28" s="237"/>
      <c r="G28" s="271"/>
      <c r="H28" s="82"/>
      <c r="I28" s="238"/>
      <c r="J28" s="235"/>
      <c r="K28" s="133"/>
      <c r="L28" s="134"/>
      <c r="M28" s="249"/>
    </row>
    <row r="29" spans="2:13" ht="211.5" customHeight="1">
      <c r="B29" s="12"/>
      <c r="C29" s="133"/>
      <c r="D29" s="286" t="s">
        <v>241</v>
      </c>
      <c r="E29" s="392"/>
      <c r="F29" s="392"/>
      <c r="G29" s="392"/>
      <c r="H29" s="392"/>
      <c r="I29" s="392"/>
      <c r="J29" s="392"/>
      <c r="K29" s="133"/>
      <c r="L29" s="134"/>
      <c r="M29" s="250"/>
    </row>
    <row r="30" spans="2:13" ht="75.75" customHeight="1">
      <c r="B30" s="12"/>
      <c r="C30" s="133"/>
      <c r="D30" s="393" t="s">
        <v>242</v>
      </c>
      <c r="E30" s="394"/>
      <c r="F30" s="394"/>
      <c r="G30" s="394"/>
      <c r="H30" s="394"/>
      <c r="I30" s="394"/>
      <c r="J30" s="394"/>
      <c r="K30" s="133"/>
      <c r="L30" s="134"/>
      <c r="M30" s="250"/>
    </row>
    <row r="31" spans="2:13" ht="129.75" customHeight="1">
      <c r="B31" s="12"/>
      <c r="C31" s="133"/>
      <c r="D31" s="395" t="s">
        <v>243</v>
      </c>
      <c r="E31" s="396"/>
      <c r="F31" s="396"/>
      <c r="G31" s="396"/>
      <c r="H31" s="396"/>
      <c r="I31" s="396"/>
      <c r="J31" s="397"/>
      <c r="K31" s="133"/>
      <c r="L31" s="134"/>
      <c r="M31" s="250"/>
    </row>
    <row r="32" spans="2:13" ht="81" customHeight="1">
      <c r="B32" s="12"/>
      <c r="C32" s="133"/>
      <c r="D32" s="376" t="s">
        <v>244</v>
      </c>
      <c r="E32" s="377"/>
      <c r="F32" s="377"/>
      <c r="G32" s="377"/>
      <c r="H32" s="377"/>
      <c r="I32" s="377"/>
      <c r="J32" s="378"/>
      <c r="K32" s="133"/>
      <c r="L32" s="134"/>
      <c r="M32" s="250"/>
    </row>
    <row r="33" spans="2:13" ht="96.75" customHeight="1">
      <c r="B33" s="12"/>
      <c r="C33" s="133"/>
      <c r="D33" s="379" t="s">
        <v>245</v>
      </c>
      <c r="E33" s="380"/>
      <c r="F33" s="380"/>
      <c r="G33" s="380"/>
      <c r="H33" s="380"/>
      <c r="I33" s="380"/>
      <c r="J33" s="381"/>
      <c r="K33" s="133"/>
      <c r="L33" s="134"/>
      <c r="M33" s="250"/>
    </row>
    <row r="34" spans="2:13" ht="27.75" customHeight="1">
      <c r="B34" s="140"/>
      <c r="C34" s="8"/>
      <c r="D34" s="362" t="s">
        <v>39</v>
      </c>
      <c r="E34" s="362"/>
      <c r="F34" s="362"/>
      <c r="G34" s="362"/>
      <c r="H34" s="362"/>
      <c r="I34" s="362"/>
      <c r="J34" s="382"/>
      <c r="K34" s="8"/>
      <c r="L34" s="15"/>
      <c r="M34" s="251"/>
    </row>
    <row r="35" spans="2:13" ht="27.75" customHeight="1">
      <c r="B35" s="140"/>
      <c r="C35" s="8"/>
      <c r="D35" s="383" t="s">
        <v>94</v>
      </c>
      <c r="E35" s="383"/>
      <c r="F35" s="383"/>
      <c r="G35" s="383"/>
      <c r="H35" s="383"/>
      <c r="I35" s="383"/>
      <c r="J35" s="384"/>
      <c r="K35" s="8"/>
      <c r="L35" s="15"/>
      <c r="M35" s="251"/>
    </row>
    <row r="36" spans="2:13" ht="27.75" customHeight="1">
      <c r="B36" s="140"/>
      <c r="C36" s="8"/>
      <c r="D36" s="148"/>
      <c r="E36" s="148"/>
      <c r="F36" s="148"/>
      <c r="G36" s="148"/>
      <c r="H36" s="148"/>
      <c r="I36" s="148"/>
      <c r="J36" s="149"/>
      <c r="K36" s="8"/>
      <c r="L36" s="15"/>
      <c r="M36" s="251"/>
    </row>
    <row r="37" spans="2:13" ht="27.75" customHeight="1">
      <c r="B37" s="140"/>
      <c r="C37" s="8"/>
      <c r="D37" s="361" t="s">
        <v>264</v>
      </c>
      <c r="E37" s="362"/>
      <c r="F37" s="362"/>
      <c r="G37" s="150"/>
      <c r="H37" s="150"/>
      <c r="I37" s="150"/>
      <c r="J37" s="151"/>
      <c r="K37" s="8"/>
      <c r="L37" s="15"/>
      <c r="M37" s="251"/>
    </row>
    <row r="38" spans="2:13" ht="27.75" customHeight="1">
      <c r="B38" s="140"/>
      <c r="C38" s="8"/>
      <c r="D38" s="385"/>
      <c r="E38" s="385"/>
      <c r="F38" s="385"/>
      <c r="G38" s="148"/>
      <c r="H38" s="148"/>
      <c r="I38" s="148"/>
      <c r="J38" s="149"/>
      <c r="K38" s="8"/>
      <c r="L38" s="15"/>
      <c r="M38" s="251"/>
    </row>
    <row r="39" spans="2:13" ht="27.75" customHeight="1">
      <c r="B39" s="140"/>
      <c r="C39" s="8"/>
      <c r="D39" s="356" t="s">
        <v>227</v>
      </c>
      <c r="E39" s="357"/>
      <c r="F39" s="357"/>
      <c r="G39" s="357"/>
      <c r="H39" s="357"/>
      <c r="I39" s="357"/>
      <c r="J39" s="358"/>
      <c r="K39" s="192"/>
      <c r="L39" s="15"/>
      <c r="M39" s="251"/>
    </row>
    <row r="40" spans="2:13" ht="33" customHeight="1">
      <c r="B40" s="49"/>
      <c r="C40" s="233"/>
      <c r="D40" s="66"/>
      <c r="E40" s="66"/>
      <c r="F40" s="66"/>
      <c r="G40" s="66"/>
      <c r="H40" s="66"/>
      <c r="I40" s="66"/>
      <c r="J40" s="67"/>
      <c r="K40" s="359" t="s">
        <v>20</v>
      </c>
      <c r="L40" s="360"/>
      <c r="M40" s="268" t="s">
        <v>261</v>
      </c>
    </row>
    <row r="41" spans="2:13" ht="29.25" customHeight="1">
      <c r="B41" s="402" t="s">
        <v>262</v>
      </c>
      <c r="C41" s="403"/>
      <c r="D41" s="403"/>
      <c r="E41" s="403"/>
      <c r="F41" s="403"/>
      <c r="G41" s="403"/>
      <c r="H41" s="403"/>
      <c r="I41" s="403"/>
      <c r="J41" s="403"/>
      <c r="K41" s="403"/>
      <c r="L41" s="403"/>
      <c r="M41" s="404"/>
    </row>
    <row r="42" spans="2:13" ht="21.75">
      <c r="B42" s="399" t="s">
        <v>185</v>
      </c>
      <c r="C42" s="400"/>
      <c r="D42" s="400"/>
      <c r="E42" s="400"/>
      <c r="F42" s="400"/>
      <c r="G42" s="400"/>
      <c r="H42" s="400"/>
      <c r="I42" s="400"/>
      <c r="J42" s="400"/>
      <c r="K42" s="400"/>
      <c r="L42" s="400"/>
      <c r="M42" s="401"/>
    </row>
    <row r="43" spans="2:13" ht="23.25">
      <c r="B43" s="263"/>
      <c r="C43" s="266"/>
      <c r="D43" s="266"/>
      <c r="E43" s="266"/>
      <c r="F43" s="266"/>
      <c r="G43" s="266"/>
      <c r="H43" s="266"/>
      <c r="I43" s="266"/>
      <c r="J43" s="266"/>
      <c r="K43" s="266"/>
      <c r="L43" s="266"/>
      <c r="M43" s="267"/>
    </row>
    <row r="44" spans="2:13" ht="23.25">
      <c r="B44" s="252"/>
      <c r="C44" s="253"/>
      <c r="D44" s="253"/>
      <c r="E44" s="253"/>
      <c r="F44" s="253"/>
      <c r="G44" s="253"/>
      <c r="H44" s="253"/>
      <c r="I44" s="253"/>
      <c r="J44" s="253"/>
      <c r="K44" s="253"/>
      <c r="L44" s="253"/>
      <c r="M44" s="254"/>
    </row>
    <row r="45" spans="2:13" ht="23.25">
      <c r="B45" s="252"/>
      <c r="C45" s="253"/>
      <c r="D45" s="253"/>
      <c r="E45" s="253"/>
      <c r="F45" s="253"/>
      <c r="G45" s="253"/>
      <c r="H45" s="253"/>
      <c r="I45" s="253"/>
      <c r="J45" s="253" t="s">
        <v>23</v>
      </c>
      <c r="K45" s="253"/>
      <c r="L45" s="253"/>
      <c r="M45" s="254"/>
    </row>
    <row r="46" spans="2:13" ht="27.75" customHeight="1">
      <c r="B46" s="252"/>
      <c r="C46" s="253"/>
      <c r="D46" s="253"/>
      <c r="E46" s="253"/>
      <c r="F46" s="253"/>
      <c r="G46" s="253"/>
      <c r="H46" s="253"/>
      <c r="I46" s="253"/>
      <c r="J46" s="253"/>
      <c r="K46" s="253"/>
      <c r="L46" s="253"/>
      <c r="M46" s="254"/>
    </row>
    <row r="47" spans="2:13" ht="42.75" customHeight="1">
      <c r="B47" s="255" t="s">
        <v>22</v>
      </c>
      <c r="C47" s="253"/>
      <c r="D47" s="253"/>
      <c r="E47" s="253"/>
      <c r="F47" s="253"/>
      <c r="G47" s="253"/>
      <c r="H47" s="253"/>
      <c r="I47" s="253"/>
      <c r="J47" s="253"/>
      <c r="K47" s="253"/>
      <c r="L47" s="253"/>
      <c r="M47" s="254"/>
    </row>
    <row r="48" spans="2:13" ht="23.25">
      <c r="B48" s="252"/>
      <c r="C48" s="410"/>
      <c r="D48" s="410"/>
      <c r="E48" s="410"/>
      <c r="F48" s="410"/>
      <c r="G48" s="253"/>
      <c r="H48" s="253"/>
      <c r="I48" s="257"/>
      <c r="J48" s="257" t="s">
        <v>216</v>
      </c>
      <c r="K48" s="257"/>
      <c r="L48" s="257"/>
      <c r="M48" s="254"/>
    </row>
    <row r="49" spans="2:13" ht="23.25">
      <c r="B49" s="252"/>
      <c r="C49" s="409" t="s">
        <v>21</v>
      </c>
      <c r="D49" s="409"/>
      <c r="E49" s="409"/>
      <c r="F49" s="409"/>
      <c r="G49" s="258"/>
      <c r="H49" s="253"/>
      <c r="I49" s="259"/>
      <c r="J49" s="259" t="s">
        <v>240</v>
      </c>
      <c r="K49" s="259"/>
      <c r="L49" s="259"/>
      <c r="M49" s="254"/>
    </row>
    <row r="50" spans="2:13" ht="23.25">
      <c r="B50" s="252"/>
      <c r="C50" s="258"/>
      <c r="D50" s="258"/>
      <c r="E50" s="258"/>
      <c r="F50" s="258" t="s">
        <v>66</v>
      </c>
      <c r="G50" s="258"/>
      <c r="H50" s="253"/>
      <c r="I50" s="259"/>
      <c r="J50" s="259"/>
      <c r="K50" s="259"/>
      <c r="L50" s="259"/>
      <c r="M50" s="254"/>
    </row>
    <row r="51" spans="2:13" ht="23.25">
      <c r="B51" s="252"/>
      <c r="C51" s="408"/>
      <c r="D51" s="408"/>
      <c r="E51" s="408"/>
      <c r="F51" s="408"/>
      <c r="G51" s="253"/>
      <c r="H51" s="253"/>
      <c r="I51" s="253"/>
      <c r="J51" s="253"/>
      <c r="K51" s="253"/>
      <c r="L51" s="253"/>
      <c r="M51" s="254"/>
    </row>
    <row r="52" spans="2:13" ht="23.25">
      <c r="B52" s="260"/>
      <c r="C52" s="407" t="s">
        <v>1</v>
      </c>
      <c r="D52" s="407"/>
      <c r="E52" s="407"/>
      <c r="F52" s="407"/>
      <c r="G52" s="261"/>
      <c r="H52" s="262"/>
      <c r="I52" s="262"/>
      <c r="J52" s="262"/>
      <c r="K52" s="262"/>
      <c r="L52" s="262"/>
      <c r="M52" s="254"/>
    </row>
    <row r="53" spans="2:13" ht="24" thickBot="1">
      <c r="B53" s="263" t="s">
        <v>24</v>
      </c>
      <c r="C53" s="253"/>
      <c r="D53" s="253"/>
      <c r="E53" s="253"/>
      <c r="F53" s="253"/>
      <c r="G53" s="253"/>
      <c r="H53" s="253"/>
      <c r="I53" s="253" t="s">
        <v>25</v>
      </c>
      <c r="J53" s="256"/>
      <c r="K53" s="256"/>
      <c r="L53" s="256"/>
      <c r="M53" s="264"/>
    </row>
    <row r="54" spans="2:13" ht="77.25" customHeight="1" thickBot="1">
      <c r="B54" s="263"/>
      <c r="C54" s="253"/>
      <c r="D54" s="253"/>
      <c r="E54" s="253"/>
      <c r="F54" s="253"/>
      <c r="G54" s="253"/>
      <c r="H54" s="253"/>
      <c r="I54" s="253"/>
      <c r="J54" s="256"/>
      <c r="K54" s="256"/>
      <c r="L54" s="256"/>
      <c r="M54" s="265"/>
    </row>
    <row r="55" spans="2:13" ht="24" thickBot="1">
      <c r="B55" s="405" t="s">
        <v>73</v>
      </c>
      <c r="C55" s="406"/>
      <c r="D55" s="406"/>
      <c r="E55" s="406"/>
      <c r="F55" s="406"/>
      <c r="G55" s="406"/>
      <c r="H55" s="253"/>
      <c r="I55" s="253" t="s">
        <v>26</v>
      </c>
      <c r="J55" s="256"/>
      <c r="K55" s="256"/>
      <c r="L55" s="256"/>
      <c r="M55" s="265"/>
    </row>
    <row r="56" spans="2:13" ht="24" thickBot="1">
      <c r="B56" s="305" t="s">
        <v>206</v>
      </c>
      <c r="C56" s="306"/>
      <c r="D56" s="306"/>
      <c r="E56" s="306"/>
      <c r="F56" s="306"/>
      <c r="G56" s="306"/>
      <c r="H56" s="256"/>
      <c r="I56" s="256"/>
      <c r="J56" s="256"/>
      <c r="K56" s="256"/>
      <c r="L56" s="256"/>
      <c r="M56" s="265"/>
    </row>
  </sheetData>
  <mergeCells count="53">
    <mergeCell ref="B42:M42"/>
    <mergeCell ref="B41:M41"/>
    <mergeCell ref="B55:G55"/>
    <mergeCell ref="C52:F52"/>
    <mergeCell ref="C51:F51"/>
    <mergeCell ref="C49:F49"/>
    <mergeCell ref="C48:F48"/>
    <mergeCell ref="D26:J26"/>
    <mergeCell ref="D29:J29"/>
    <mergeCell ref="D30:J30"/>
    <mergeCell ref="D31:J31"/>
    <mergeCell ref="H23:I23"/>
    <mergeCell ref="D39:J39"/>
    <mergeCell ref="K40:L40"/>
    <mergeCell ref="D37:F37"/>
    <mergeCell ref="D16:J16"/>
    <mergeCell ref="D17:J18"/>
    <mergeCell ref="D20:E20"/>
    <mergeCell ref="D21:E21"/>
    <mergeCell ref="F21:J21"/>
    <mergeCell ref="F20:G20"/>
    <mergeCell ref="H20:J20"/>
    <mergeCell ref="D32:J32"/>
    <mergeCell ref="D33:J33"/>
    <mergeCell ref="D34:J34"/>
    <mergeCell ref="D35:J35"/>
    <mergeCell ref="D38:F38"/>
    <mergeCell ref="D22:J22"/>
    <mergeCell ref="B56:G56"/>
    <mergeCell ref="B2:B5"/>
    <mergeCell ref="C2:I3"/>
    <mergeCell ref="J2:K4"/>
    <mergeCell ref="L2:M4"/>
    <mergeCell ref="C4:I5"/>
    <mergeCell ref="J5:K5"/>
    <mergeCell ref="L5:M5"/>
    <mergeCell ref="B12:M12"/>
    <mergeCell ref="B13:M13"/>
    <mergeCell ref="B14:B15"/>
    <mergeCell ref="C14:H15"/>
    <mergeCell ref="I14:J14"/>
    <mergeCell ref="K14:M14"/>
    <mergeCell ref="I15:J15"/>
    <mergeCell ref="K15:M15"/>
    <mergeCell ref="C6:I6"/>
    <mergeCell ref="J6:K7"/>
    <mergeCell ref="L6:M7"/>
    <mergeCell ref="B7:B8"/>
    <mergeCell ref="C7:I8"/>
    <mergeCell ref="J8:K10"/>
    <mergeCell ref="L8:M10"/>
    <mergeCell ref="B9:B10"/>
    <mergeCell ref="C9:I10"/>
  </mergeCells>
  <hyperlinks>
    <hyperlink ref="C9" r:id="rId1" display="sheenmea.abrea@almont.com.ph / 0919485699" xr:uid="{418AB80B-AF98-4C29-8A7F-E52A4D7D7D7F}"/>
  </hyperlinks>
  <printOptions horizontalCentered="1"/>
  <pageMargins left="0.196850393700787" right="0.196850393700787" top="0.23622047244094499" bottom="1.2362204720000001" header="0.31496062992126" footer="0.31496062992126"/>
  <pageSetup paperSize="5" scale="43" fitToHeight="0"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mancom meals</vt:lpstr>
      <vt:lpstr>TWG meeting</vt:lpstr>
      <vt:lpstr>agenda folder</vt:lpstr>
      <vt:lpstr>emblem</vt:lpstr>
      <vt:lpstr>red &amp; blue alert meals</vt:lpstr>
      <vt:lpstr>van rental</vt:lpstr>
      <vt:lpstr>forwarding services</vt:lpstr>
      <vt:lpstr>template</vt:lpstr>
      <vt:lpstr>'agenda folder'!Print_Area</vt:lpstr>
      <vt:lpstr>emblem!Print_Area</vt:lpstr>
      <vt:lpstr>'forwarding services'!Print_Area</vt:lpstr>
      <vt:lpstr>'mancom meals'!Print_Area</vt:lpstr>
      <vt:lpstr>'red &amp; blue alert meals'!Print_Area</vt:lpstr>
      <vt:lpstr>template!Print_Area</vt:lpstr>
      <vt:lpstr>'TWG meeting'!Print_Area</vt:lpstr>
      <vt:lpstr>'van rental'!Print_Area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OCD</dc:creator>
  <cp:lastModifiedBy>OCD CARAGA</cp:lastModifiedBy>
  <cp:lastPrinted>2026-01-15T07:24:07Z</cp:lastPrinted>
  <dcterms:created xsi:type="dcterms:W3CDTF">2019-08-29T02:25:11Z</dcterms:created>
  <dcterms:modified xsi:type="dcterms:W3CDTF">2026-04-06T03:30:13Z</dcterms:modified>
</cp:coreProperties>
</file>