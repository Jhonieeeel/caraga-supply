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OCD CARAGA\Desktop\caraga-supply\public\templates\"/>
    </mc:Choice>
  </mc:AlternateContent>
  <xr:revisionPtr revIDLastSave="0" documentId="13_ncr:1_{CB071643-0112-4502-A463-1F53BDD42238}" xr6:coauthVersionLast="47" xr6:coauthVersionMax="47" xr10:uidLastSave="{00000000-0000-0000-0000-000000000000}"/>
  <bookViews>
    <workbookView xWindow="-120" yWindow="-120" windowWidth="29040" windowHeight="15720" firstSheet="63" activeTab="63" xr2:uid="{00000000-000D-0000-FFFF-FFFF00000000}"/>
  </bookViews>
  <sheets>
    <sheet name="Emblems,logos" sheetId="163" r:id="rId1"/>
    <sheet name="FC_AgendaFolders1 (2)" sheetId="162" r:id="rId2"/>
    <sheet name="TWG2025" sheetId="159" r:id="rId3"/>
    <sheet name="photo doc_FC (2)" sheetId="140" r:id="rId4"/>
    <sheet name="Talidhay (2)" sheetId="158" r:id="rId5"/>
    <sheet name="Talidhay" sheetId="157" r:id="rId6"/>
    <sheet name="TARP_GK_Awarding" sheetId="156" r:id="rId7"/>
    <sheet name="Decoration Services" sheetId="155" r:id="rId8"/>
    <sheet name="GK Awarding" sheetId="154" r:id="rId9"/>
    <sheet name="MidYear Assessment" sheetId="153" r:id="rId10"/>
    <sheet name="Meals for LDRRMP" sheetId="152" r:id="rId11"/>
    <sheet name="MEals for GK Field Validation" sheetId="151" r:id="rId12"/>
    <sheet name="Bulb" sheetId="150" r:id="rId13"/>
    <sheet name="APB_Meals" sheetId="149" r:id="rId14"/>
    <sheet name="TARP_GK1" sheetId="148" r:id="rId15"/>
    <sheet name="Zoom_Payment" sheetId="147" r:id="rId16"/>
    <sheet name="TARP_Full Council" sheetId="8" r:id="rId17"/>
    <sheet name="Hotline_Load" sheetId="142" r:id="rId18"/>
    <sheet name="Tarp_FC Meeting1 (2)" sheetId="139" r:id="rId19"/>
    <sheet name="Tarp_FC Meeting1" sheetId="138" r:id="rId20"/>
    <sheet name="Agenda folder_Full Council 2nd" sheetId="135" r:id="rId21"/>
    <sheet name="Agenda folder_Full Council" sheetId="134" r:id="rId22"/>
    <sheet name="Meals and snacks_FC2024" sheetId="133" r:id="rId23"/>
    <sheet name="GK Polo Shirt RSC" sheetId="145" r:id="rId24"/>
    <sheet name="GK Polo Shirt RVC" sheetId="144" r:id="rId25"/>
    <sheet name="GK_Polo Shirt" sheetId="143" r:id="rId26"/>
    <sheet name="Lease of Venue_GK Seal" sheetId="99" r:id="rId27"/>
    <sheet name="MEals for Mancom" sheetId="141" r:id="rId28"/>
    <sheet name="Meals for TWG" sheetId="129" r:id="rId29"/>
    <sheet name="Tokens for TWG" sheetId="131" r:id="rId30"/>
    <sheet name="Sheet2" sheetId="130" r:id="rId31"/>
    <sheet name="Meals and snacks_StaffMeeting" sheetId="128" r:id="rId32"/>
    <sheet name="Tarp_FC Meeting" sheetId="127" r:id="rId33"/>
    <sheet name="Lease of Venue_GK AwardingN (2)" sheetId="122" r:id="rId34"/>
    <sheet name="tALID-HAY Meals" sheetId="125" r:id="rId35"/>
    <sheet name="Meals and snacks_PSCP" sheetId="94" r:id="rId36"/>
    <sheet name="Meals and snacks_TWG" sheetId="109" r:id="rId37"/>
    <sheet name="Meals and snacks_FC" sheetId="110" r:id="rId38"/>
    <sheet name="Meals_OnlineEngagement2022EPA" sheetId="111" r:id="rId39"/>
    <sheet name="Meals and snacks_LDRRMP" sheetId="102" r:id="rId40"/>
    <sheet name="Meals and snacks_GK Final Delib" sheetId="112" r:id="rId41"/>
    <sheet name="Meals and snacks_GK AwardingNDR" sheetId="121" r:id="rId42"/>
    <sheet name="Proc of meals and snacks_SM" sheetId="97" r:id="rId43"/>
    <sheet name="LOAD__GK" sheetId="103" r:id="rId44"/>
    <sheet name="TARP_GK Regl Orien.Desktop Eval" sheetId="100" r:id="rId45"/>
    <sheet name="TARP_LDRRMP" sheetId="108" r:id="rId46"/>
    <sheet name="TARP_GK" sheetId="117" r:id="rId47"/>
    <sheet name="Agenda folder_Full Council 2ndQ" sheetId="91" r:id="rId48"/>
    <sheet name="photo doc_FC" sheetId="85" r:id="rId49"/>
    <sheet name="GK Seal_Review PlanSupplies" sheetId="76" r:id="rId50"/>
    <sheet name="GK Seal Awarding _ NDRM sUPPLIE" sheetId="118" r:id="rId51"/>
    <sheet name="GK Plaques" sheetId="126" r:id="rId52"/>
    <sheet name="GK Seal_Leis" sheetId="119" r:id="rId53"/>
    <sheet name="PETTY CASH_Supplies (2" sheetId="116" r:id="rId54"/>
    <sheet name="LDRRM Plan Review_Load" sheetId="96" r:id="rId55"/>
    <sheet name="Review PlanSupplies" sheetId="90" r:id="rId56"/>
    <sheet name="GK Jacket supplies" sheetId="104" r:id="rId57"/>
    <sheet name="Deco" sheetId="7" r:id="rId58"/>
    <sheet name="Lights and Sounds system" sheetId="75" r:id="rId59"/>
    <sheet name="Photo and Video" sheetId="123" r:id="rId60"/>
    <sheet name="NDRM Performers" sheetId="124" r:id="rId61"/>
    <sheet name="GK_Plaques_Leis" sheetId="25" r:id="rId62"/>
    <sheet name="GK Online Engagement_Supplies" sheetId="114" r:id="rId63"/>
    <sheet name="DRRM (2)" sheetId="167" r:id="rId64"/>
  </sheets>
  <definedNames>
    <definedName name="_xlnm.Print_Area" localSheetId="21">'Agenda folder_Full Council'!$B$1:$L$36</definedName>
    <definedName name="_xlnm.Print_Area" localSheetId="20">'Agenda folder_Full Council 2nd'!$B$1:$M$36</definedName>
    <definedName name="_xlnm.Print_Area" localSheetId="47">'Agenda folder_Full Council 2ndQ'!$B$1:$L$36</definedName>
    <definedName name="_xlnm.Print_Area" localSheetId="13">APB_Meals!$B$1:$N$55,APB_Meals!$R$6</definedName>
    <definedName name="_xlnm.Print_Area" localSheetId="12">Bulb!$B$1:$L$39</definedName>
    <definedName name="_xlnm.Print_Area" localSheetId="57">Deco!$B$1:$L$41</definedName>
    <definedName name="_xlnm.Print_Area" localSheetId="7">'Decoration Services'!$B$1:$N$55,'Decoration Services'!$R$6</definedName>
    <definedName name="_xlnm.Print_Area" localSheetId="63">'DRRM (2)'!$A$1:$J$41</definedName>
    <definedName name="_xlnm.Print_Area" localSheetId="0">'Emblems,logos'!$A$1:$M$40</definedName>
    <definedName name="_xlnm.Print_Area" localSheetId="1">'FC_AgendaFolders1 (2)'!$A$1:$M$53</definedName>
    <definedName name="_xlnm.Print_Area" localSheetId="8">'GK Awarding'!$B$1:$N$55,'GK Awarding'!$R$6</definedName>
    <definedName name="_xlnm.Print_Area" localSheetId="56">'GK Jacket supplies'!$B$1:$L$37</definedName>
    <definedName name="_xlnm.Print_Area" localSheetId="51">'GK Plaques'!$B$1:$L$50</definedName>
    <definedName name="_xlnm.Print_Area" localSheetId="23">'GK Polo Shirt RSC'!$B$1:$L$48</definedName>
    <definedName name="_xlnm.Print_Area" localSheetId="24">'GK Polo Shirt RVC'!$B$1:$L$48</definedName>
    <definedName name="_xlnm.Print_Area" localSheetId="50">'GK Seal Awarding _ NDRM sUPPLIE'!$B$1:$L$41</definedName>
    <definedName name="_xlnm.Print_Area" localSheetId="52">'GK Seal_Leis'!$B$1:$L$46</definedName>
    <definedName name="_xlnm.Print_Area" localSheetId="49">'GK Seal_Review PlanSupplies'!$B$1:$L$40</definedName>
    <definedName name="_xlnm.Print_Area" localSheetId="61">GK_Plaques_Leis!$B$1:$L$54</definedName>
    <definedName name="_xlnm.Print_Area" localSheetId="25">'GK_Polo Shirt'!$B$1:$N$53,'GK_Polo Shirt'!$R$6</definedName>
    <definedName name="_xlnm.Print_Area" localSheetId="17">Hotline_Load!$B$1:$L$39</definedName>
    <definedName name="_xlnm.Print_Area" localSheetId="54">'LDRRM Plan Review_Load'!$B$1:$L$40</definedName>
    <definedName name="_xlnm.Print_Area" localSheetId="33">'Lease of Venue_GK AwardingN (2)'!$B$1:$N$53,'Lease of Venue_GK AwardingN (2)'!$R$5</definedName>
    <definedName name="_xlnm.Print_Area" localSheetId="26">'Lease of Venue_GK Seal'!$B$1:$N$91,'Lease of Venue_GK Seal'!$R$5</definedName>
    <definedName name="_xlnm.Print_Area" localSheetId="58">'Lights and Sounds system'!$B$1:$L$42</definedName>
    <definedName name="_xlnm.Print_Area" localSheetId="43">LOAD__GK!$B$1:$M$45</definedName>
    <definedName name="_xlnm.Print_Area" localSheetId="37">'Meals and snacks_FC'!$B$1:$N$47,'Meals and snacks_FC'!$R$6</definedName>
    <definedName name="_xlnm.Print_Area" localSheetId="22">'Meals and snacks_FC2024'!$B$1:$N$67,'Meals and snacks_FC2024'!$R$6</definedName>
    <definedName name="_xlnm.Print_Area" localSheetId="41">'Meals and snacks_GK AwardingNDR'!$B$1:$N$44,'Meals and snacks_GK AwardingNDR'!$R$6</definedName>
    <definedName name="_xlnm.Print_Area" localSheetId="40">'Meals and snacks_GK Final Delib'!$B$1:$N$44,'Meals and snacks_GK Final Delib'!$R$6</definedName>
    <definedName name="_xlnm.Print_Area" localSheetId="39">'Meals and snacks_LDRRMP'!$B$1:$N$45,'Meals and snacks_LDRRMP'!$R$6</definedName>
    <definedName name="_xlnm.Print_Area" localSheetId="35">'Meals and snacks_PSCP'!$B$1:$N$45,'Meals and snacks_PSCP'!$R$6</definedName>
    <definedName name="_xlnm.Print_Area" localSheetId="31">'Meals and snacks_StaffMeeting'!$B$1:$N$43,'Meals and snacks_StaffMeeting'!$R$6</definedName>
    <definedName name="_xlnm.Print_Area" localSheetId="36">'Meals and snacks_TWG'!$B$1:$N$43,'Meals and snacks_TWG'!$R$6</definedName>
    <definedName name="_xlnm.Print_Area" localSheetId="11">'MEals for GK Field Validation'!$B$1:$N$34,'MEals for GK Field Validation'!$R$13</definedName>
    <definedName name="_xlnm.Print_Area" localSheetId="10">'Meals for LDRRMP'!$B$1:$N$37,'Meals for LDRRMP'!$R$7</definedName>
    <definedName name="_xlnm.Print_Area" localSheetId="27">'MEals for Mancom'!$B$1:$N$43,'MEals for Mancom'!$R$13</definedName>
    <definedName name="_xlnm.Print_Area" localSheetId="28">'Meals for TWG'!$B$1:$N$43,'Meals for TWG'!$R$13</definedName>
    <definedName name="_xlnm.Print_Area" localSheetId="38">Meals_OnlineEngagement2022EPA!$B$1:$N$55,Meals_OnlineEngagement2022EPA!$R$6</definedName>
    <definedName name="_xlnm.Print_Area" localSheetId="9">'MidYear Assessment'!$B$1:$N$36,'MidYear Assessment'!$R$8</definedName>
    <definedName name="_xlnm.Print_Area" localSheetId="60">'NDRM Performers'!$B$1:$L$34</definedName>
    <definedName name="_xlnm.Print_Area" localSheetId="53">'PETTY CASH_Supplies (2'!$B$1:$L$32</definedName>
    <definedName name="_xlnm.Print_Area" localSheetId="59">'Photo and Video'!$B$1:$L$36</definedName>
    <definedName name="_xlnm.Print_Area" localSheetId="48">'photo doc_FC'!$B$1:$L$34</definedName>
    <definedName name="_xlnm.Print_Area" localSheetId="3">'photo doc_FC (2)'!$B$1:$L$39</definedName>
    <definedName name="_xlnm.Print_Area" localSheetId="42">'Proc of meals and snacks_SM'!$B$1:$N$45,'Proc of meals and snacks_SM'!$R$6</definedName>
    <definedName name="_xlnm.Print_Area" localSheetId="55">'Review PlanSupplies'!$B$1:$L$37</definedName>
    <definedName name="_xlnm.Print_Area" localSheetId="5">Talidhay!$B$1:$N$34,Talidhay!$R$8</definedName>
    <definedName name="_xlnm.Print_Area" localSheetId="4">'Talidhay (2)'!$B$1:$N$34,'Talidhay (2)'!$R$8</definedName>
    <definedName name="_xlnm.Print_Area" localSheetId="34">'tALID-HAY Meals'!$B$1:$N$53,'tALID-HAY Meals'!$R$5</definedName>
    <definedName name="_xlnm.Print_Area" localSheetId="32">'Tarp_FC Meeting'!$B$1:$L$37</definedName>
    <definedName name="_xlnm.Print_Area" localSheetId="19">'Tarp_FC Meeting1'!$B$1:$L$37</definedName>
    <definedName name="_xlnm.Print_Area" localSheetId="18">'Tarp_FC Meeting1 (2)'!$B$1:$L$41</definedName>
    <definedName name="_xlnm.Print_Area" localSheetId="16">'TARP_Full Council'!$B$1:$L$45</definedName>
    <definedName name="_xlnm.Print_Area" localSheetId="46">TARP_GK!$B$1:$L$37</definedName>
    <definedName name="_xlnm.Print_Area" localSheetId="44">'TARP_GK Regl Orien.Desktop Eval'!$B$1:$L$43</definedName>
    <definedName name="_xlnm.Print_Area" localSheetId="6">TARP_GK_Awarding!$A$1:$M$38</definedName>
    <definedName name="_xlnm.Print_Area" localSheetId="14">TARP_GK1!$A$1:$M$35</definedName>
    <definedName name="_xlnm.Print_Area" localSheetId="45">TARP_LDRRMP!$B$1:$L$38</definedName>
    <definedName name="_xlnm.Print_Area" localSheetId="29">'Tokens for TWG'!$B$1:$L$38</definedName>
    <definedName name="_xlnm.Print_Area" localSheetId="2">'TWG2025'!$B$1:$N$65,'TWG2025'!$R$6</definedName>
    <definedName name="_xlnm.Print_Area" localSheetId="15">Zoom_Payment!$B$1:$L$34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0" i="159" l="1"/>
  <c r="N39" i="159"/>
  <c r="N38" i="159"/>
  <c r="N32" i="159"/>
  <c r="N31" i="159"/>
  <c r="N30" i="159"/>
  <c r="N24" i="159"/>
  <c r="N23" i="159"/>
  <c r="N22" i="159"/>
  <c r="N16" i="159"/>
  <c r="N15" i="159"/>
  <c r="N14" i="159"/>
  <c r="L27" i="162"/>
  <c r="L23" i="162"/>
  <c r="L19" i="162"/>
  <c r="L15" i="162"/>
  <c r="N18" i="159" l="1"/>
  <c r="N26" i="159"/>
  <c r="N34" i="159"/>
  <c r="N10" i="159"/>
  <c r="L47" i="162"/>
  <c r="N60" i="159" l="1"/>
  <c r="L14" i="163" l="1"/>
  <c r="L34" i="163" s="1"/>
  <c r="N18" i="158"/>
  <c r="N29" i="158" s="1"/>
  <c r="N18" i="157" l="1"/>
  <c r="N29" i="157" s="1"/>
  <c r="L14" i="156" l="1"/>
  <c r="L30" i="156" s="1"/>
  <c r="N20" i="155"/>
  <c r="N19" i="155"/>
  <c r="N18" i="155"/>
  <c r="N50" i="155" s="1"/>
  <c r="N20" i="154"/>
  <c r="N18" i="154"/>
  <c r="N50" i="154" l="1"/>
  <c r="N33" i="133" l="1"/>
  <c r="N32" i="133"/>
  <c r="N31" i="133"/>
  <c r="N20" i="153" l="1"/>
  <c r="N19" i="153"/>
  <c r="N18" i="153"/>
  <c r="N19" i="152"/>
  <c r="N18" i="152"/>
  <c r="N17" i="152"/>
  <c r="N31" i="153" l="1"/>
  <c r="N32" i="152"/>
  <c r="N22" i="151" l="1"/>
  <c r="N23" i="151"/>
  <c r="N24" i="151"/>
  <c r="N25" i="151"/>
  <c r="N21" i="151"/>
  <c r="L18" i="150" l="1"/>
  <c r="L32" i="150" s="1"/>
  <c r="N20" i="149"/>
  <c r="N19" i="149"/>
  <c r="N18" i="149"/>
  <c r="L14" i="148"/>
  <c r="L29" i="148" s="1"/>
  <c r="L13" i="147"/>
  <c r="N29" i="151" l="1"/>
  <c r="N50" i="149"/>
  <c r="L27" i="147" l="1"/>
  <c r="L11" i="145" l="1"/>
  <c r="L38" i="145" s="1"/>
  <c r="L11" i="144"/>
  <c r="L38" i="144" s="1"/>
  <c r="K62" i="143"/>
  <c r="K78" i="143" s="1"/>
  <c r="N18" i="143"/>
  <c r="N48" i="143" s="1"/>
  <c r="L18" i="142" l="1"/>
  <c r="L32" i="142" s="1"/>
  <c r="N25" i="141"/>
  <c r="N24" i="141"/>
  <c r="N23" i="141"/>
  <c r="N38" i="141" s="1"/>
  <c r="N59" i="99"/>
  <c r="N58" i="99"/>
  <c r="N57" i="99"/>
  <c r="N60" i="99" s="1"/>
  <c r="N47" i="99"/>
  <c r="N46" i="99"/>
  <c r="N48" i="99" s="1"/>
  <c r="N45" i="99"/>
  <c r="N34" i="99"/>
  <c r="N33" i="99"/>
  <c r="N32" i="99"/>
  <c r="N35" i="99" s="1"/>
  <c r="N21" i="99"/>
  <c r="N20" i="99"/>
  <c r="N19" i="99"/>
  <c r="N22" i="99" s="1"/>
  <c r="N24" i="129"/>
  <c r="N25" i="129"/>
  <c r="N23" i="129"/>
  <c r="N86" i="99" l="1"/>
  <c r="N38" i="129"/>
  <c r="L18" i="140"/>
  <c r="L32" i="140" s="1"/>
  <c r="L19" i="139"/>
  <c r="L34" i="139" s="1"/>
  <c r="L14" i="138"/>
  <c r="L29" i="138" s="1"/>
  <c r="L14" i="135"/>
  <c r="L28" i="135" s="1"/>
  <c r="L14" i="134" l="1"/>
  <c r="L28" i="134" s="1"/>
  <c r="N20" i="133"/>
  <c r="N19" i="133"/>
  <c r="N18" i="133"/>
  <c r="N62" i="133" l="1"/>
  <c r="L12" i="131" l="1"/>
  <c r="L11" i="131"/>
  <c r="L28" i="131" s="1"/>
  <c r="N19" i="128"/>
  <c r="N18" i="128"/>
  <c r="N17" i="128"/>
  <c r="N38" i="128" l="1"/>
  <c r="L14" i="127"/>
  <c r="L29" i="127" s="1"/>
  <c r="L13" i="85"/>
  <c r="L15" i="124"/>
  <c r="L16" i="124"/>
  <c r="L17" i="124"/>
  <c r="L14" i="124"/>
  <c r="L12" i="126" l="1"/>
  <c r="L13" i="126"/>
  <c r="L14" i="126"/>
  <c r="L11" i="126"/>
  <c r="L24" i="126"/>
  <c r="L43" i="126" l="1"/>
  <c r="N18" i="125"/>
  <c r="N47" i="125" s="1"/>
  <c r="L10" i="124" l="1"/>
  <c r="L27" i="124" s="1"/>
  <c r="L10" i="123"/>
  <c r="L29" i="123" s="1"/>
  <c r="N18" i="122"/>
  <c r="N47" i="122" s="1"/>
  <c r="N20" i="121"/>
  <c r="N19" i="121"/>
  <c r="L20" i="119"/>
  <c r="L36" i="119" s="1"/>
  <c r="L11" i="119"/>
  <c r="L18" i="118"/>
  <c r="L19" i="118"/>
  <c r="L11" i="118"/>
  <c r="N39" i="121" l="1"/>
  <c r="L31" i="118"/>
  <c r="L14" i="117"/>
  <c r="L29" i="117" s="1"/>
  <c r="L10" i="116" l="1"/>
  <c r="L9" i="116"/>
  <c r="L22" i="116" s="1"/>
  <c r="K24" i="114" l="1"/>
  <c r="K17" i="114"/>
  <c r="K16" i="114"/>
  <c r="K15" i="114"/>
  <c r="K14" i="114"/>
  <c r="K13" i="114"/>
  <c r="K38" i="114" l="1"/>
  <c r="N20" i="112"/>
  <c r="N19" i="112"/>
  <c r="N39" i="112" s="1"/>
  <c r="N20" i="111" l="1"/>
  <c r="N21" i="111"/>
  <c r="N19" i="111"/>
  <c r="N50" i="111" l="1"/>
  <c r="L27" i="85"/>
  <c r="N20" i="110"/>
  <c r="N19" i="110"/>
  <c r="N18" i="110"/>
  <c r="N42" i="110" l="1"/>
  <c r="N19" i="109" l="1"/>
  <c r="N18" i="109"/>
  <c r="N17" i="109"/>
  <c r="N38" i="109" l="1"/>
  <c r="L15" i="108"/>
  <c r="L14" i="108" l="1"/>
  <c r="L30" i="108" s="1"/>
  <c r="L21" i="100" l="1"/>
  <c r="L11" i="104" l="1"/>
  <c r="L27" i="104" s="1"/>
  <c r="L14" i="103" l="1"/>
  <c r="L22" i="103"/>
  <c r="L37" i="103" l="1"/>
  <c r="N20" i="102"/>
  <c r="N19" i="102"/>
  <c r="N21" i="102"/>
  <c r="N40" i="102" l="1"/>
  <c r="L14" i="100" l="1"/>
  <c r="L35" i="100" s="1"/>
  <c r="N20" i="94" l="1"/>
  <c r="N21" i="94"/>
  <c r="N19" i="94"/>
  <c r="N21" i="97"/>
  <c r="N20" i="97"/>
  <c r="N19" i="97"/>
  <c r="L18" i="96"/>
  <c r="L11" i="96"/>
  <c r="L30" i="96" l="1"/>
  <c r="N40" i="97"/>
  <c r="N40" i="94"/>
  <c r="L14" i="91"/>
  <c r="L28" i="91" s="1"/>
  <c r="L22" i="8" l="1"/>
  <c r="L14" i="8"/>
  <c r="L37" i="8" l="1"/>
  <c r="L11" i="90"/>
  <c r="L27" i="90" s="1"/>
  <c r="L18" i="76" l="1"/>
  <c r="L11" i="76" l="1"/>
  <c r="L30" i="76" s="1"/>
  <c r="L10" i="75" l="1"/>
  <c r="L35" i="75" s="1"/>
  <c r="L13" i="25" l="1"/>
  <c r="L14" i="25"/>
  <c r="L12" i="25"/>
  <c r="L47" i="25" l="1"/>
  <c r="L10" i="7" l="1"/>
  <c r="L3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OCD GRACE</author>
  </authors>
  <commentList>
    <comment ref="D14" authorId="0" shapeId="0" xr:uid="{00000000-0006-0000-0C00-000001000000}">
      <text>
        <r>
          <rPr>
            <b/>
            <sz val="9"/>
            <color indexed="81"/>
            <rFont val="Tahoma"/>
            <family val="2"/>
          </rPr>
          <t>OCD GRACE:</t>
        </r>
        <r>
          <rPr>
            <sz val="9"/>
            <color indexed="81"/>
            <rFont val="Tahoma"/>
            <family val="2"/>
          </rPr>
          <t xml:space="preserve">
</t>
        </r>
      </text>
    </comment>
  </commentList>
</comments>
</file>

<file path=xl/sharedStrings.xml><?xml version="1.0" encoding="utf-8"?>
<sst xmlns="http://schemas.openxmlformats.org/spreadsheetml/2006/main" count="3886" uniqueCount="615">
  <si>
    <t>Designation</t>
  </si>
  <si>
    <t>Printed Name</t>
  </si>
  <si>
    <t>Signature</t>
  </si>
  <si>
    <t>Approved by:</t>
  </si>
  <si>
    <t xml:space="preserve">Purpose: </t>
  </si>
  <si>
    <t>P</t>
  </si>
  <si>
    <t>TOTAL</t>
  </si>
  <si>
    <r>
      <t xml:space="preserve">Must accept </t>
    </r>
    <r>
      <rPr>
        <b/>
        <sz val="12"/>
        <color indexed="8"/>
        <rFont val="Arial"/>
        <family val="2"/>
      </rPr>
      <t>SEND BILL</t>
    </r>
    <r>
      <rPr>
        <sz val="12"/>
        <color indexed="8"/>
        <rFont val="Arial"/>
        <family val="2"/>
      </rPr>
      <t xml:space="preserve"> policy as payment for services</t>
    </r>
  </si>
  <si>
    <t>Payment:</t>
  </si>
  <si>
    <t>Lunch</t>
  </si>
  <si>
    <t>Other requirements</t>
  </si>
  <si>
    <t>Menu</t>
  </si>
  <si>
    <t>Inclusive Date</t>
  </si>
  <si>
    <t>Serving Arrangement</t>
  </si>
  <si>
    <t>Meal / Snack</t>
  </si>
  <si>
    <t>No. of Pax</t>
  </si>
  <si>
    <t>Meals/ Restaurant Services:</t>
  </si>
  <si>
    <t>Estimated Cost</t>
  </si>
  <si>
    <t>Estimated Unit Cost</t>
  </si>
  <si>
    <t>Item Description</t>
  </si>
  <si>
    <t>Unit</t>
  </si>
  <si>
    <t>Quantity</t>
  </si>
  <si>
    <t>Date: _______</t>
  </si>
  <si>
    <t>ALOBS No. _________</t>
  </si>
  <si>
    <t>Section:</t>
  </si>
  <si>
    <t>SAI No.  :_____________</t>
  </si>
  <si>
    <t>Division:</t>
  </si>
  <si>
    <t>PURCHASE REQUEST</t>
  </si>
  <si>
    <t>Annex G-6</t>
  </si>
  <si>
    <t>Stock No.</t>
  </si>
  <si>
    <t>DRRM Division</t>
  </si>
  <si>
    <t>LIZA R. MAZO</t>
  </si>
  <si>
    <t>Regional Director</t>
  </si>
  <si>
    <t>Terms and Conditions:</t>
  </si>
  <si>
    <t>1. Prices must be VAT inclusive.</t>
  </si>
  <si>
    <t>2. Delivery must be free of charge.</t>
  </si>
  <si>
    <t>Requirement:</t>
  </si>
  <si>
    <t>1. Valid Mayor's Permit</t>
  </si>
  <si>
    <r>
      <t xml:space="preserve">Must accept </t>
    </r>
    <r>
      <rPr>
        <b/>
        <sz val="12"/>
        <color indexed="8"/>
        <rFont val="Arial"/>
        <family val="2"/>
      </rPr>
      <t>SEND BILL</t>
    </r>
    <r>
      <rPr>
        <sz val="12"/>
        <color indexed="8"/>
        <rFont val="Arial"/>
        <family val="2"/>
      </rPr>
      <t xml:space="preserve"> policy.</t>
    </r>
  </si>
  <si>
    <r>
      <rPr>
        <b/>
        <sz val="12"/>
        <color theme="1"/>
        <rFont val="Arial"/>
        <family val="2"/>
      </rPr>
      <t>OFFICE OF CIVIL DEFENSE</t>
    </r>
    <r>
      <rPr>
        <sz val="12"/>
        <color theme="1"/>
        <rFont val="Arial"/>
        <family val="2"/>
      </rPr>
      <t xml:space="preserve">
Caraga Region
109 T. Calo Extension, Butuan City
Tel/Fax. Numbers: (085) 342-8753 / 817-6736 
Email Address: ocdcaragabac@gmail.com</t>
    </r>
  </si>
  <si>
    <t>Technical Specifications:</t>
  </si>
  <si>
    <t>Particular</t>
  </si>
  <si>
    <t>Date/Time of Delivery</t>
  </si>
  <si>
    <t>pc</t>
  </si>
  <si>
    <t>2. PhilGEPs Certificate</t>
  </si>
  <si>
    <r>
      <t xml:space="preserve">OFFICE OF CIVIL DEFENSE
</t>
    </r>
    <r>
      <rPr>
        <sz val="12"/>
        <color theme="1"/>
        <rFont val="Arial"/>
        <family val="2"/>
      </rPr>
      <t>Caraga Region
Bancasi, Butuan City</t>
    </r>
    <r>
      <rPr>
        <b/>
        <sz val="12"/>
        <color theme="1"/>
        <rFont val="Arial"/>
        <family val="2"/>
      </rPr>
      <t xml:space="preserve">
</t>
    </r>
    <r>
      <rPr>
        <sz val="12"/>
        <color theme="1"/>
        <rFont val="Arial"/>
        <family val="2"/>
      </rPr>
      <t xml:space="preserve">Tel/Fax. Numbers: (085) 342-8753 / 817-6736 </t>
    </r>
  </si>
  <si>
    <t>lot</t>
  </si>
  <si>
    <t>Policy Development and Planning Section</t>
  </si>
  <si>
    <t>GRACE D. VILLANUEVA</t>
  </si>
  <si>
    <t xml:space="preserve">Planning Officer I / Finance Officer- Designate </t>
  </si>
  <si>
    <t xml:space="preserve"> </t>
  </si>
  <si>
    <t>AM Snack</t>
  </si>
  <si>
    <t>Planning Officer I / Finance Officer- Designate</t>
  </si>
  <si>
    <t>pcs</t>
  </si>
  <si>
    <t>2. Philgeps Certificate</t>
  </si>
  <si>
    <t>pax</t>
  </si>
  <si>
    <r>
      <rPr>
        <b/>
        <sz val="12"/>
        <color theme="1"/>
        <rFont val="Arial"/>
        <family val="2"/>
      </rPr>
      <t>OFFICE OF CIVIL DEFENSE</t>
    </r>
    <r>
      <rPr>
        <sz val="12"/>
        <color theme="1"/>
        <rFont val="Arial"/>
        <family val="2"/>
      </rPr>
      <t xml:space="preserve">
Caraga Region
Camp Romualdo C. Rubi, Brgy. Bancasi, Butuan City
Hotline Numbe: 09479468145
Email Address: ocdcaragabac@gmail.com</t>
    </r>
  </si>
  <si>
    <t>PR No.   : 2022-11</t>
  </si>
  <si>
    <t>on or before November 25, 2022</t>
  </si>
  <si>
    <t>- Laser cut Acrylic withbeveled sidesCrystal Gold and Silver Finish</t>
  </si>
  <si>
    <t>- Embossed and 3D Gawad KALASAG Logo ( Gold Antique Finish)</t>
  </si>
  <si>
    <t>. BEYOND COMPLIANT Award</t>
  </si>
  <si>
    <t>Size: 10"W x 14"H</t>
  </si>
  <si>
    <t>Custom-shape-Acrylic Marker</t>
  </si>
  <si>
    <t>Back stand and hanger for wall mounting</t>
  </si>
  <si>
    <t>Individual box packaging</t>
  </si>
  <si>
    <t>. FULLY COMPLIANT Award</t>
  </si>
  <si>
    <t>Size: 10"W x 13"H</t>
  </si>
  <si>
    <t>Beveled and Crystal Silver finish</t>
  </si>
  <si>
    <t>Beveled and Crystal Gold finish</t>
  </si>
  <si>
    <t>UV Printed Full color Citation</t>
  </si>
  <si>
    <t>. CUSTOMIZED LEI'S</t>
  </si>
  <si>
    <t>Customized Leis</t>
  </si>
  <si>
    <t>. CUSTOM-SHAPED KALASAG LGU Award</t>
  </si>
  <si>
    <t xml:space="preserve">size: 1"W x2"H custom shape acrylic (Gawad Kalasag Logo) </t>
  </si>
  <si>
    <t>Gold antique finish with color white lei holder/sling</t>
  </si>
  <si>
    <t>Plaque - Custom-shaped Kalasag LGU Award- Gold Finish</t>
  </si>
  <si>
    <t xml:space="preserve">Plaque - Custom-shaped Kalasag LGU Award - Silver Finish </t>
  </si>
  <si>
    <t>3. Omnibus Sworn Certificate</t>
  </si>
  <si>
    <t>Choice of pork/chicken or beef, with side dish and dessert, soup and bottled water</t>
  </si>
  <si>
    <t>Choice of pasta, pastry/ sandwich w ith one beverage and bottled water</t>
  </si>
  <si>
    <t>3. Omnibus Sworn Statement</t>
  </si>
  <si>
    <t>REMARKS:</t>
  </si>
  <si>
    <t>2. PhilGeps Certificate</t>
  </si>
  <si>
    <t>2. PhilGEPS Certificate</t>
  </si>
  <si>
    <t>1. 4 per side active speakers</t>
  </si>
  <si>
    <t>2. 2 active delay speakers</t>
  </si>
  <si>
    <t>3. 4 subwoofers</t>
  </si>
  <si>
    <t>4. 4 moving heads</t>
  </si>
  <si>
    <t>5. 20 led lights</t>
  </si>
  <si>
    <t>6. 8 pcs amber lights</t>
  </si>
  <si>
    <t>7. 4 wireless microphone</t>
  </si>
  <si>
    <t>8. Ledwall 9/12ft</t>
  </si>
  <si>
    <r>
      <t>Date:Nov. 14</t>
    </r>
    <r>
      <rPr>
        <sz val="11"/>
        <color theme="1"/>
        <rFont val="Arial"/>
        <family val="2"/>
      </rPr>
      <t>, 2022</t>
    </r>
  </si>
  <si>
    <t>Printing of Plaque and Leis intended for the conduct of the 22nd National Awarding of Gawad KALASAG Seal for Local DRRM Councils/Offices (Beyond anf Fully Compliant Cities and Municipalities)on November 29, 2022</t>
  </si>
  <si>
    <t>Printing of Plaque and Leis intended for the the conduct of the 22nd National Awarding of Gawad KALASAG Seal for Local DRRM Councils/Offices (Beyopnd and Fuilly Compliant Cities and Municipalities) on November 29, 2022</t>
  </si>
  <si>
    <t>Choice of banana cake/ puto maya with one beverage and bottled water</t>
  </si>
  <si>
    <r>
      <rPr>
        <b/>
        <sz val="12"/>
        <color theme="1"/>
        <rFont val="Arial"/>
        <family val="2"/>
      </rPr>
      <t>Location</t>
    </r>
    <r>
      <rPr>
        <sz val="12"/>
        <color theme="1"/>
        <rFont val="Arial"/>
        <family val="2"/>
      </rPr>
      <t>: Within Butuan City</t>
    </r>
  </si>
  <si>
    <t>1. Flower Arrangements and Decoration for Stage</t>
  </si>
  <si>
    <t>2. Center Piece for 25 round tables</t>
  </si>
  <si>
    <t>3. Ornamental deco below the LED wall</t>
  </si>
  <si>
    <t>4. Floral deco for the podium</t>
  </si>
  <si>
    <t>5. Center table floral decoration for VIP</t>
  </si>
  <si>
    <t>6. Red Carpet</t>
  </si>
  <si>
    <t>7. Photo Wall decoration</t>
  </si>
  <si>
    <t>PR No.   : 2022-12</t>
  </si>
  <si>
    <t>Date:Dec. 26, 2022</t>
  </si>
  <si>
    <t>packs</t>
  </si>
  <si>
    <t>LOT 1: Procurement of supplies intended for the conduct of Gawad KALASAG Seal 2023 Regional Orientation on March 01, 2023</t>
  </si>
  <si>
    <t>Certificate Board, A4</t>
  </si>
  <si>
    <t>Jacket for LDRRM plan review team</t>
  </si>
  <si>
    <t>2/24/2023 @ 9:00AM</t>
  </si>
  <si>
    <t>2/15/2023@9:00AM</t>
  </si>
  <si>
    <t>Specifications:</t>
  </si>
  <si>
    <t xml:space="preserve">     Embroidered printing</t>
  </si>
  <si>
    <t>Epson Ink L3110 (003 ink set)</t>
  </si>
  <si>
    <t>set</t>
  </si>
  <si>
    <t>Procurement of jacket intended for the conduct of Review of Local DRRM Plan</t>
  </si>
  <si>
    <t xml:space="preserve">Procurement of jacket intended for the review team uniform during the conduct of Review of Local DRRM Plan </t>
  </si>
  <si>
    <t>LOT 2: Procurement of supplies intended for the conduct of the 1st Quarter RDRRMC Full Council Meeting</t>
  </si>
  <si>
    <t>Procurement of supplies intended for the conduct of Gawad KALASAG Seal 2023 Regional Orientation on March 01, 2023 and 1st Quarter RDRRMC Full Council Meeting on March 2023</t>
  </si>
  <si>
    <t>Planning Officer I / Finance Officer- Designate /PDPS Section</t>
  </si>
  <si>
    <t xml:space="preserve">Tarpaulin, 5 X 10ft </t>
  </si>
  <si>
    <t>Size:  5x10ft</t>
  </si>
  <si>
    <t xml:space="preserve">Tarpaulin, </t>
  </si>
  <si>
    <r>
      <rPr>
        <b/>
        <sz val="12"/>
        <color theme="1"/>
        <rFont val="Arial"/>
        <family val="2"/>
      </rPr>
      <t>OFFICE OF CIVIL DEFENSE</t>
    </r>
    <r>
      <rPr>
        <sz val="12"/>
        <color theme="1"/>
        <rFont val="Arial"/>
        <family val="2"/>
      </rPr>
      <t xml:space="preserve">
Caraga Region
Camp Romualdo C. Rubi, Brgy. Bsncasi, Butuan City
Hotline Number: 09479468145 
Email Address: ocdcaragabac@gmail.com</t>
    </r>
  </si>
  <si>
    <t>Mirror Coat Folded 12x18inches with print</t>
  </si>
  <si>
    <t>Agenda Folder</t>
  </si>
  <si>
    <t>PR No.   : 2023-01</t>
  </si>
  <si>
    <t>Date: Jan. 05, 2023</t>
  </si>
  <si>
    <t>Standard:</t>
  </si>
  <si>
    <r>
      <rPr>
        <b/>
        <sz val="12"/>
        <color theme="1"/>
        <rFont val="Arial"/>
        <family val="2"/>
      </rPr>
      <t>Location</t>
    </r>
    <r>
      <rPr>
        <sz val="12"/>
        <color theme="1"/>
        <rFont val="Arial"/>
        <family val="2"/>
      </rPr>
      <t>:OFFICE OF Civil Defense, GCCC New Bldg</t>
    </r>
  </si>
  <si>
    <t>pack</t>
  </si>
  <si>
    <t>PM Snack</t>
  </si>
  <si>
    <r>
      <rPr>
        <b/>
        <sz val="12"/>
        <rFont val="Arial"/>
        <family val="2"/>
      </rPr>
      <t>Delivery Site: Bancasi, Butuan City</t>
    </r>
  </si>
  <si>
    <t>Date:Jan. 12, 2023</t>
  </si>
  <si>
    <t xml:space="preserve">LOT 1: Conduct of Review of Local DRRM Plan on </t>
  </si>
  <si>
    <r>
      <rPr>
        <b/>
        <sz val="12"/>
        <color theme="1"/>
        <rFont val="Arial"/>
        <family val="2"/>
      </rPr>
      <t>Dates:</t>
    </r>
    <r>
      <rPr>
        <sz val="12"/>
        <color theme="1"/>
        <rFont val="Arial"/>
        <family val="2"/>
      </rPr>
      <t xml:space="preserve"> February 8-9, 2023</t>
    </r>
  </si>
  <si>
    <t>February 8-9, 2023</t>
  </si>
  <si>
    <r>
      <rPr>
        <b/>
        <sz val="12"/>
        <rFont val="Arial"/>
        <family val="2"/>
      </rPr>
      <t>Delivery Period: February 8-9, 2023</t>
    </r>
  </si>
  <si>
    <t xml:space="preserve">To be delivered on or before meal/snack  time </t>
  </si>
  <si>
    <t>Provision of 1 Meal and 2 Snacks for the 2-day Workshop for the Updating of OCD Caraga's Public Service Continuity Plan (PSCP) on February 8-9, 2023</t>
  </si>
  <si>
    <t>2023-01</t>
  </si>
  <si>
    <t>Tarpaulin</t>
  </si>
  <si>
    <t>AM Snacks</t>
  </si>
  <si>
    <t>Plated</t>
  </si>
  <si>
    <t>Choice of pasta, noodles, pastry/ sandwich with one beverage</t>
  </si>
  <si>
    <t>Managed buffet</t>
  </si>
  <si>
    <t>Choice of pork/chicken or beef, with side dish and dessert, one beverage</t>
  </si>
  <si>
    <t>PM Snacks</t>
  </si>
  <si>
    <t>Choice of pasta, noodles, pastry with one beverage</t>
  </si>
  <si>
    <t>GENERAL REQUIREMENTS:</t>
  </si>
  <si>
    <t xml:space="preserve">Must have internet connection at least 4GB, 30 mbps in the rooms and assigned function areas of the hotel </t>
  </si>
  <si>
    <t>Must be in business for at least two (2) years</t>
  </si>
  <si>
    <t>Hotel shall strictly follow health and safety guidelines of Inter-Agency Task Force (IATF) on the Management of Emerging Infectious Diseases</t>
  </si>
  <si>
    <t>Conference Room/Function Hall:</t>
  </si>
  <si>
    <t>Room set-up type as preferred by the end-user</t>
  </si>
  <si>
    <t>No posts/columns that will obstruct the line of sight of participants</t>
  </si>
  <si>
    <t>Must provide AV equipment such as three (3) LCD projector, three (3) flat screen/projector screen, sound system, with at least three (3) Microphones</t>
  </si>
  <si>
    <r>
      <t xml:space="preserve">Must provide Whiteboard </t>
    </r>
    <r>
      <rPr>
        <sz val="12"/>
        <color indexed="8"/>
        <rFont val="Arial"/>
        <family val="2"/>
      </rPr>
      <t>with markers and erasers and alcohol</t>
    </r>
  </si>
  <si>
    <t>Must have pork-free alternative meals to cater the Muslim guests</t>
  </si>
  <si>
    <t>Free-flowing coffee/tea during the duration of activity at the conference room/function hall</t>
  </si>
  <si>
    <t>Other Requirements:</t>
  </si>
  <si>
    <t>Must have provisions for the elderly, PWDs, pregnant women and children</t>
  </si>
  <si>
    <r>
      <t>Must provide free</t>
    </r>
    <r>
      <rPr>
        <b/>
        <sz val="12"/>
        <color indexed="8"/>
        <rFont val="Arial"/>
        <family val="2"/>
      </rPr>
      <t xml:space="preserve"> </t>
    </r>
    <r>
      <rPr>
        <sz val="12"/>
        <color indexed="8"/>
        <rFont val="Arial"/>
        <family val="2"/>
      </rPr>
      <t>parking space for participants/facilitators</t>
    </r>
  </si>
  <si>
    <r>
      <t xml:space="preserve">OFFICE OF CIVIL DEFENSE
</t>
    </r>
    <r>
      <rPr>
        <sz val="12"/>
        <color theme="1"/>
        <rFont val="Arial"/>
        <family val="2"/>
      </rPr>
      <t>Caraga Region
Bancasi, Butuan City</t>
    </r>
    <r>
      <rPr>
        <b/>
        <sz val="12"/>
        <color theme="1"/>
        <rFont val="Arial"/>
        <family val="2"/>
      </rPr>
      <t xml:space="preserve">
</t>
    </r>
    <r>
      <rPr>
        <sz val="12"/>
        <color theme="1"/>
        <rFont val="Arial"/>
        <family val="2"/>
      </rPr>
      <t>Hotline Number: 09479468145</t>
    </r>
  </si>
  <si>
    <r>
      <rPr>
        <b/>
        <sz val="12"/>
        <color theme="1"/>
        <rFont val="Arial"/>
        <family val="2"/>
      </rPr>
      <t>Permit:</t>
    </r>
    <r>
      <rPr>
        <sz val="12"/>
        <color theme="1"/>
        <rFont val="Arial"/>
        <family val="2"/>
      </rPr>
      <t xml:space="preserve"> </t>
    </r>
  </si>
  <si>
    <r>
      <t>Function room to comfortably house One Hundred</t>
    </r>
    <r>
      <rPr>
        <u/>
        <sz val="12"/>
        <color indexed="8"/>
        <rFont val="Arial"/>
        <family val="2"/>
      </rPr>
      <t xml:space="preserve"> (100)</t>
    </r>
    <r>
      <rPr>
        <sz val="12"/>
        <color indexed="8"/>
        <rFont val="Arial"/>
        <family val="2"/>
      </rPr>
      <t xml:space="preserve"> pax following IATF Guidelines (social distancing) </t>
    </r>
  </si>
  <si>
    <t>PhilGEPS registered</t>
  </si>
  <si>
    <t>Omnibus Sworn Statement</t>
  </si>
  <si>
    <t>Size: 5x8.5</t>
  </si>
  <si>
    <t>Date:Jan. 23, 2023</t>
  </si>
  <si>
    <t>Lot 1: Provision of tarpaulin intended for the conduct of the 1st Quarter RDRRMC Full Council Meeting on March 28, 2023</t>
  </si>
  <si>
    <t>Lot 2: Provision of tarpaulin intended 2-day Workshop for the Updating of OCD Caraga's Public Service Continuity Plan (PSCP) on February 8-9, 2023</t>
  </si>
  <si>
    <t>Feb. 03, 2023@ 9:00AM</t>
  </si>
  <si>
    <t>Size: 4x6 ft</t>
  </si>
  <si>
    <t>Provision of tarpaulin intended for the conduct of the 1st Quarter RDRRMC Full Council Meeting on March 28, 2023 and 2-day Workshop for the Updating of OCD Caraga's Public Service Continuity Plan (PSCP) on February 8-9, 2023</t>
  </si>
  <si>
    <t>March 20, 2023@ 9:00AM</t>
  </si>
  <si>
    <t>Date: Jan. 27, 2023</t>
  </si>
  <si>
    <r>
      <rPr>
        <b/>
        <sz val="12"/>
        <color theme="1"/>
        <rFont val="Arial"/>
        <family val="2"/>
      </rPr>
      <t>Dates:</t>
    </r>
    <r>
      <rPr>
        <sz val="12"/>
        <color theme="1"/>
        <rFont val="Arial"/>
        <family val="2"/>
      </rPr>
      <t xml:space="preserve"> April 24-28, 2023</t>
    </r>
  </si>
  <si>
    <r>
      <rPr>
        <b/>
        <sz val="12"/>
        <rFont val="Arial"/>
        <family val="2"/>
      </rPr>
      <t>Delivery Period: April 24-28, 2023</t>
    </r>
  </si>
  <si>
    <t xml:space="preserve">Provison of 1 Meal and 2 Snacks intended for the conduct of Review of Local DRRM Plan on April 24-28, 2023 </t>
  </si>
  <si>
    <t>Prepaid load</t>
  </si>
  <si>
    <t>Globe@500</t>
  </si>
  <si>
    <t>April 24-28, 2023</t>
  </si>
  <si>
    <t>PR No.   : 2023-02</t>
  </si>
  <si>
    <t>Date:Feb. 15, 2023</t>
  </si>
  <si>
    <t>Procurement of jacket intended for the conduct of Gawad KALASAG Seal for LDRRMCOs Desktop Evaluation on May 23-26, 2023</t>
  </si>
  <si>
    <t xml:space="preserve">Jacket for Gawad KALASAG </t>
  </si>
  <si>
    <t xml:space="preserve">     Black </t>
  </si>
  <si>
    <t>Lot 1: Provision of prepaid load intended for the conduct of Gawad KALASAG Seal LDRRMOCs Desktop Evaluation on May 23-26, 2023</t>
  </si>
  <si>
    <t>Globe @ 500</t>
  </si>
  <si>
    <t>2023-02</t>
  </si>
  <si>
    <t>March 31, 2023@ 9:00AM</t>
  </si>
  <si>
    <t>PR No.   : 2023-03</t>
  </si>
  <si>
    <t>Date:March 13, 2023</t>
  </si>
  <si>
    <t>Date:02/17/2023</t>
  </si>
  <si>
    <t>Planning Officer I / PDPS Section</t>
  </si>
  <si>
    <t>Lot 1: Provision of tarpaulin intended for the conduct of Gawad KALASAG Seal 2023 Regional Orientation on March 14, 2023</t>
  </si>
  <si>
    <t>Lot 1: Provision of tarpaulin intended for the Gawad KALASAG Seal for Special Awards  and LGUs Desktop Evaluation on May 23-26, 2023</t>
  </si>
  <si>
    <t>March 09, 2023@ 9:00AM</t>
  </si>
  <si>
    <t>April 21, 2023@ 9:00AM</t>
  </si>
  <si>
    <t>Provision of tarpaulin intended for the conduct of Gawad KALASAG Seal 2023 Regional Orientation on March 14, 2023 and Regional Desktop Evaluation of GK Seal for Special Awards and LGUs on May 23-26, 2023</t>
  </si>
  <si>
    <t>APRIL ROSE ANNE Y. SANCHEZ</t>
  </si>
  <si>
    <t>CDO III / Head, Policy Development and Planning Sections</t>
  </si>
  <si>
    <t>Provision of prepaid load intended for the conduct of Gawad KALASAG Seal for LDRRMOCs Desktop Evaluation on May 23-26, 2023 and GK Seal for LDRRMOCs Online Engagement on June 20-23, 2023</t>
  </si>
  <si>
    <t>Lot 2: Provision of prepaid load intended for the conduct of Gawad KALASAG Seal for LDRRMOCs Online Engagement on June 20-23, 2023</t>
  </si>
  <si>
    <r>
      <t xml:space="preserve">Provison of Meals and Snacks intended for the 2-day Workshop for the Updating of OCD Caraga's Public Service Continuity Plan (PSCP) on February 8-9, 2023 </t>
    </r>
    <r>
      <rPr>
        <b/>
        <i/>
        <sz val="12"/>
        <color rgb="FFFF0000"/>
        <rFont val="Arial"/>
        <family val="2"/>
      </rPr>
      <t>moved to March 1-2, 2023</t>
    </r>
  </si>
  <si>
    <t>PR No.   : 2023-04</t>
  </si>
  <si>
    <t>Date:04/17/23</t>
  </si>
  <si>
    <t>Lot 1: Provision of tarpaulin intended for the conduct of Local DRRM Plan Review on April 24-28, 2023</t>
  </si>
  <si>
    <t>April 17, 2023 @ 2PM</t>
  </si>
  <si>
    <t>Provision of tarpaulin intended for the conduct of Local DRRM Plan Review on April 24-28, 2023</t>
  </si>
  <si>
    <t>Planning Officer I / PDPS Staff</t>
  </si>
  <si>
    <t>Sizes: 4x6</t>
  </si>
  <si>
    <t xml:space="preserve">          2.5x6</t>
  </si>
  <si>
    <t>APRIL ROSE ANNE Y. SANCHEZ-ELMEDULAN</t>
  </si>
  <si>
    <t>Head, Policy Development and Planning Section / CDO III</t>
  </si>
  <si>
    <t>PR No.   :_2023-05</t>
  </si>
  <si>
    <t>PR No.   : 2023-05</t>
  </si>
  <si>
    <t>Date:May 02, 2023</t>
  </si>
  <si>
    <t>Provision of agenda folder with print intended for the conduct of the 2nd Quarter RDRRMC Full Council Meeting on June 15, 2023</t>
  </si>
  <si>
    <t>June 8, 2023@9:00AM</t>
  </si>
  <si>
    <t>photocopy of documents for 80 sets</t>
  </si>
  <si>
    <t>pages</t>
  </si>
  <si>
    <t>Bondpaper Size: A4, 70gsm</t>
  </si>
  <si>
    <t>stapled per set</t>
  </si>
  <si>
    <t>CDO III / Head, Policy Development and Planning Section</t>
  </si>
  <si>
    <r>
      <rPr>
        <b/>
        <sz val="12"/>
        <color theme="1"/>
        <rFont val="Arial"/>
        <family val="2"/>
      </rPr>
      <t>OFFICE OF CIVIL DEFENSE</t>
    </r>
    <r>
      <rPr>
        <sz val="12"/>
        <color theme="1"/>
        <rFont val="Arial"/>
        <family val="2"/>
      </rPr>
      <t xml:space="preserve">
Caraga Region
Camp Romualdo C. Rubi, Brgy. Bancasi, Butuan City
HotlineNumber: 09479468145 / Email Address: ocdcaragabac@gmail.com</t>
    </r>
  </si>
  <si>
    <t>Date: May 03, 2023</t>
  </si>
  <si>
    <r>
      <rPr>
        <b/>
        <sz val="12"/>
        <color theme="1"/>
        <rFont val="Arial"/>
        <family val="2"/>
      </rPr>
      <t>Dates:</t>
    </r>
    <r>
      <rPr>
        <sz val="12"/>
        <color theme="1"/>
        <rFont val="Arial"/>
        <family val="2"/>
      </rPr>
      <t xml:space="preserve"> June 20-23, 2023</t>
    </r>
  </si>
  <si>
    <t>June 20-23, 2023</t>
  </si>
  <si>
    <t>Location: Within Butuan City</t>
  </si>
  <si>
    <t>Provision of lease of venue including meals and snacks intended for the conduct of Regional Online Engagement with LGUs for  the Gawad KALASAG Seal on June 20-23, 2023</t>
  </si>
  <si>
    <t>Permit:</t>
  </si>
  <si>
    <t>'</t>
  </si>
  <si>
    <t>Date: May 5, 2023</t>
  </si>
  <si>
    <t xml:space="preserve">Provison of 1 Meal and 1 Snack intended for the conduct of GK Regional Final Deliberation and Official Declaration of Awardees on June 27, 2023 </t>
  </si>
  <si>
    <r>
      <rPr>
        <b/>
        <sz val="12"/>
        <color theme="1"/>
        <rFont val="Arial"/>
        <family val="2"/>
      </rPr>
      <t>Dates:</t>
    </r>
    <r>
      <rPr>
        <sz val="12"/>
        <color theme="1"/>
        <rFont val="Arial"/>
        <family val="2"/>
      </rPr>
      <t xml:space="preserve"> June 27, 2023</t>
    </r>
  </si>
  <si>
    <r>
      <rPr>
        <b/>
        <sz val="12"/>
        <rFont val="Arial"/>
        <family val="2"/>
      </rPr>
      <t>Delivery Period: June 27, 2023</t>
    </r>
  </si>
  <si>
    <t>Head, Policy Development and Planning Section /CDO III</t>
  </si>
  <si>
    <t>2023-04</t>
  </si>
  <si>
    <t>Date:April 14, 2023</t>
  </si>
  <si>
    <t>Lot 1: Provision of office supplies intended for the conduct of the Gawad KALASAG Seal for LDRRMCOs Desktop Evaluation on May 23-26, 2023</t>
  </si>
  <si>
    <t>Board paper for certificate, A4, 4 packs@50.00</t>
  </si>
  <si>
    <t>May 17, 2023@ 9:00AM</t>
  </si>
  <si>
    <t xml:space="preserve">Bond Paper, Multipurpose Copy, A4, </t>
  </si>
  <si>
    <t>ream</t>
  </si>
  <si>
    <t>Ballpen, Black</t>
  </si>
  <si>
    <t>box</t>
  </si>
  <si>
    <t>PENCIL, lead, w/ eraser, wood cased, hardness: HB / Monggol</t>
  </si>
  <si>
    <t>boxes</t>
  </si>
  <si>
    <t>Epson L3110 (003 ink set)</t>
  </si>
  <si>
    <t>A4, 80GSM, 216mm x 297mm</t>
  </si>
  <si>
    <t xml:space="preserve">Lot 2: Provision of office supplies intended for the conduct of the GK Seal for LDRRMCOs Online Engagement on June 20-23, 2023 </t>
  </si>
  <si>
    <t>Provision of office supplies intended for the conduct of the Gawad KALASAG Seal for LDRRMCOs Desktop Evaluation  and Online Engagement on May 23-26, 2023 and June 20-23, 2023 respectively</t>
  </si>
  <si>
    <t>D O N E (EPA2022)</t>
  </si>
  <si>
    <t>Date: May 11, 2023</t>
  </si>
  <si>
    <t>Provison of Meals and Snacks intended for the OCD Caraga Monthly Staff Meeting on June 13, 2023</t>
  </si>
  <si>
    <r>
      <rPr>
        <b/>
        <sz val="12"/>
        <color theme="1"/>
        <rFont val="Arial"/>
        <family val="2"/>
      </rPr>
      <t>Dates:</t>
    </r>
    <r>
      <rPr>
        <sz val="12"/>
        <color theme="1"/>
        <rFont val="Arial"/>
        <family val="2"/>
      </rPr>
      <t xml:space="preserve"> June 13 , 2023</t>
    </r>
  </si>
  <si>
    <t>June 13, 223</t>
  </si>
  <si>
    <r>
      <rPr>
        <b/>
        <sz val="12"/>
        <rFont val="Arial"/>
        <family val="2"/>
      </rPr>
      <t>Delivery Period: June 13, 2023</t>
    </r>
  </si>
  <si>
    <t>PR No.   : 2023-06</t>
  </si>
  <si>
    <t>Date:June 30, 2023</t>
  </si>
  <si>
    <t>rolls of ribbon 2 inches</t>
  </si>
  <si>
    <t>rolls</t>
  </si>
  <si>
    <t>Extension wire</t>
  </si>
  <si>
    <t>DIR. JOSE HARRY M. BARBER</t>
  </si>
  <si>
    <t xml:space="preserve"> Procurement of supplies intended for the Gawad KALASAG submission of book of entries to central office and extension wire for the PDP section daily use</t>
  </si>
  <si>
    <t>PR No.   : 2023-07</t>
  </si>
  <si>
    <t>Date:7/6/23</t>
  </si>
  <si>
    <t>Head, PDPS / CDO III</t>
  </si>
  <si>
    <t>DIR. LIZA R. MAZO</t>
  </si>
  <si>
    <t>Date:07/10/23</t>
  </si>
  <si>
    <t>LOT 1: Procurement of supplies intended for the conduct of Gawad KALASAG Seal Awarding Ceremony on July 31, 2023</t>
  </si>
  <si>
    <t>Photopaper</t>
  </si>
  <si>
    <t>Specs:</t>
  </si>
  <si>
    <t>A4, Glossy Paper</t>
  </si>
  <si>
    <t>Certificate Holder, A4</t>
  </si>
  <si>
    <t>LOT 2: Procurement of supplies intended for the conduct of NDRM Culmination and Regional Awarding of Gawad KALASAG Seal on July 31, 2023</t>
  </si>
  <si>
    <t>Procurement of supplies intended for the conduct of Gawad KALASAG Seal Awarding Ceremony and  NDRM Culmination and Regional Awarding of Gawad KALASAG Seal on July 31, 2023</t>
  </si>
  <si>
    <t>Head, Policy Development and Planning Sections / CDO III</t>
  </si>
  <si>
    <t>Leis for VIP</t>
  </si>
  <si>
    <t>Leis for LCEs</t>
  </si>
  <si>
    <t>Date: July 10, 2023</t>
  </si>
  <si>
    <t>Provison of 1 Meal and 1 Snack intended for the conduct of NDRM Culmination and Regional Awarding of Gawad KALASAG Seal on July 31, 2023</t>
  </si>
  <si>
    <r>
      <rPr>
        <b/>
        <sz val="12"/>
        <color theme="1"/>
        <rFont val="Arial"/>
        <family val="2"/>
      </rPr>
      <t>Dates:</t>
    </r>
    <r>
      <rPr>
        <sz val="12"/>
        <color theme="1"/>
        <rFont val="Arial"/>
        <family val="2"/>
      </rPr>
      <t xml:space="preserve"> July 31, 2023</t>
    </r>
  </si>
  <si>
    <t>PR No.   :_2023-07</t>
  </si>
  <si>
    <t>Provision of Decoration Services for the conduct of the Regional Awarding of Gawad KALASAG Seal forLGUs and Special Awards in DRRM and Humanitarian Assistance on July 31, 2023</t>
  </si>
  <si>
    <t>Head, Policy Development and Planning Section/ CDO III</t>
  </si>
  <si>
    <t>Provision of Lights,  Sounds and Led Wall for the conduct of the Regional Awarding of Gawad KALASAG Seal forLGUs and Special Awards in DRRM and Humanitarian Assistance on July 31, 2023</t>
  </si>
  <si>
    <t>Provision of Photo and Video Documentation Services for the conduct of NDRM Culmination Program on July 31, 2023</t>
  </si>
  <si>
    <t>with 3 minutes video highlight</t>
  </si>
  <si>
    <t>Provision of professional service fee for the performers during the conduct of NDRM Culmination and Regional Awarding of Gawad KALASAG Seal on July 31, 2023</t>
  </si>
  <si>
    <t>Services Coverage</t>
  </si>
  <si>
    <t>(1) group in Invocation and National Anthem</t>
  </si>
  <si>
    <t>(1) group in Opening Salvo and Intermission Dance</t>
  </si>
  <si>
    <t>( 1) pax in Rendition of Environmental Songs</t>
  </si>
  <si>
    <t xml:space="preserve">and Special </t>
  </si>
  <si>
    <t>Provision of Accommodation and meals for GOHAS during the conduct of Regional Awarding of Gawad KALASAG Seal for LGUs and Special Awards in DRRM in Assistance on July 31, 2023</t>
  </si>
  <si>
    <t>Lot</t>
  </si>
  <si>
    <t>Meals and snacks</t>
  </si>
  <si>
    <t>APRIL ROSE ANNE Y. SANCHEZ - ELMEDULAN</t>
  </si>
  <si>
    <t xml:space="preserve">Provision of meals and snack intended for the conduct of "Hanyag Talidhay" : A Joint Outreach Program sa Brigada Ekwela on August 2023 </t>
  </si>
  <si>
    <r>
      <rPr>
        <b/>
        <sz val="12"/>
        <color theme="1"/>
        <rFont val="Arial"/>
        <family val="2"/>
      </rPr>
      <t>Dates:</t>
    </r>
    <r>
      <rPr>
        <sz val="12"/>
        <color theme="1"/>
        <rFont val="Arial"/>
        <family val="2"/>
      </rPr>
      <t xml:space="preserve"> August 2023</t>
    </r>
  </si>
  <si>
    <t>Packed Lunch</t>
  </si>
  <si>
    <t xml:space="preserve"> August 2023</t>
  </si>
  <si>
    <t>Plaques 14"</t>
  </si>
  <si>
    <t>Plaques 12"</t>
  </si>
  <si>
    <t>LOT 1: Procurement of Plaques intended for the conduct of Gawad KALASAG Seal Awarding Ceremony on July 31, 2023 (DRRM FUND)</t>
  </si>
  <si>
    <t>LOT 2: Procurement of Plaques intended for the conduct of Regional Awarding of Gawad KALASAG Seal for LGUs and Special Awards in DRRM and Humanitarian on July 31, 2023 (CDE FUND)</t>
  </si>
  <si>
    <t xml:space="preserve">Technical Specs: </t>
  </si>
  <si>
    <t xml:space="preserve">Automotive gloss finished </t>
  </si>
  <si>
    <t>Procurement of Plaques intended for the conduct of Gawad KALASAG Seal Awarding Ceremony on July 31, 2023 (DRRM FUND) and Plaques intended for the conduct of Regional Awarding of Gawad KALASAG Seal for LGUs and Special Awards in DRRM and Humanitarian on July 31, 2023 (CDE FUND)</t>
  </si>
  <si>
    <t>Size: 1"W x 2"H</t>
  </si>
  <si>
    <t>custom shape acrylic (Gawad Kalasag Logo)</t>
  </si>
  <si>
    <t>Gold antique finish with colored lei holder/sling</t>
  </si>
  <si>
    <t>Technical Specs:</t>
  </si>
  <si>
    <t>DIR. LIZA R. MAZO, CESE</t>
  </si>
  <si>
    <t>Provision of tarpaulin intended for the conduct of Hanyag Talidhay</t>
  </si>
  <si>
    <t>Lot 1: Provision of tarpaulin intended for the conduct of Hanyag Talidhay</t>
  </si>
  <si>
    <t>Sizes: 5ft x 6ft</t>
  </si>
  <si>
    <t>Provision of tarpaulin intended for the conduct of Workshop for the Development of OCD Caraga Annual Plans and Budget 2024</t>
  </si>
  <si>
    <t>Lot 1: Provision of tarpaulin intended for the conduct of Workshop for the Development of OCD Caraga Annual Plans and Budget 2024</t>
  </si>
  <si>
    <t>Sizes: 4ft x 7ft</t>
  </si>
  <si>
    <t>PR No.   : 2023-010</t>
  </si>
  <si>
    <t>Date: October 4, 2023</t>
  </si>
  <si>
    <t>Provison of 1 Meal and 2 Snacks intended for the conduct of the 4th Quarter RDRRMC TWG Meeting on November 8, 2023</t>
  </si>
  <si>
    <t>Intended for the conduct of the 4th Quarter RDRRMC TWG Meeting on November 8, 2023</t>
  </si>
  <si>
    <r>
      <rPr>
        <b/>
        <sz val="12"/>
        <color theme="1"/>
        <rFont val="Arial"/>
        <family val="2"/>
      </rPr>
      <t>Location</t>
    </r>
    <r>
      <rPr>
        <sz val="12"/>
        <color theme="1"/>
        <rFont val="Arial"/>
        <family val="2"/>
      </rPr>
      <t>:Office of Civil Defense Regional Office cum GCCC, Bancasi, Butuan City</t>
    </r>
  </si>
  <si>
    <r>
      <rPr>
        <b/>
        <sz val="12"/>
        <color theme="1"/>
        <rFont val="Arial"/>
        <family val="2"/>
      </rPr>
      <t>Dates:</t>
    </r>
    <r>
      <rPr>
        <sz val="12"/>
        <color theme="1"/>
        <rFont val="Arial"/>
        <family val="2"/>
      </rPr>
      <t xml:space="preserve"> November 8, 2023</t>
    </r>
  </si>
  <si>
    <r>
      <rPr>
        <b/>
        <sz val="12"/>
        <rFont val="Arial"/>
        <family val="2"/>
      </rPr>
      <t>Delivery Period: November 8, 2023</t>
    </r>
  </si>
  <si>
    <t>Date:Oct. 4, 2023</t>
  </si>
  <si>
    <t>Provision of photocopy of documents intended for the conduct of the 
4th Quarter RDRRMC Full Council Meeting on November 23, 2023</t>
  </si>
  <si>
    <t>November 17, 2023</t>
  </si>
  <si>
    <t>Provision of photocopy of documents intended for the conduct of the 4th Quarter RDRRMC Full Council Meeting 
on November 23, 2023</t>
  </si>
  <si>
    <r>
      <rPr>
        <b/>
        <sz val="12"/>
        <rFont val="Arial"/>
        <family val="2"/>
      </rPr>
      <t>Delivery Period: November 6, 2023</t>
    </r>
  </si>
  <si>
    <t>November 6, 2023</t>
  </si>
  <si>
    <r>
      <rPr>
        <b/>
        <sz val="12"/>
        <color theme="1"/>
        <rFont val="Arial"/>
        <family val="2"/>
      </rPr>
      <t>Dates:</t>
    </r>
    <r>
      <rPr>
        <sz val="12"/>
        <color theme="1"/>
        <rFont val="Arial"/>
        <family val="2"/>
      </rPr>
      <t xml:space="preserve"> November 6, 2023</t>
    </r>
  </si>
  <si>
    <t xml:space="preserve">Provison of 1 Meal and 2 Snacks intended for the conduct of OCD Caraga Staff Meeting on November 6, 2023 </t>
  </si>
  <si>
    <t>DIR. LIZA R. MAZO, CESO V</t>
  </si>
  <si>
    <t>BFP</t>
  </si>
  <si>
    <t>CHED</t>
  </si>
  <si>
    <t>DA</t>
  </si>
  <si>
    <t>DENR</t>
  </si>
  <si>
    <t>DEPED</t>
  </si>
  <si>
    <t>DILG</t>
  </si>
  <si>
    <t>DOH</t>
  </si>
  <si>
    <t>DOST</t>
  </si>
  <si>
    <t>PAGASA</t>
  </si>
  <si>
    <t>DPWH</t>
  </si>
  <si>
    <t>DTI</t>
  </si>
  <si>
    <t>PIA</t>
  </si>
  <si>
    <t>PNP</t>
  </si>
  <si>
    <t>PRC-AND</t>
  </si>
  <si>
    <t>SIKAP</t>
  </si>
  <si>
    <t>GK</t>
  </si>
  <si>
    <t>MMACI</t>
  </si>
  <si>
    <t>NEDA</t>
  </si>
  <si>
    <t>DSWD</t>
  </si>
  <si>
    <t>PDPS</t>
  </si>
  <si>
    <t>RD and DRRMDC</t>
  </si>
  <si>
    <t>S-heads</t>
  </si>
  <si>
    <t>total</t>
  </si>
  <si>
    <t>PR No.   :_2023-011</t>
  </si>
  <si>
    <t>Date: November 15, 2023</t>
  </si>
  <si>
    <r>
      <rPr>
        <b/>
        <sz val="12"/>
        <color theme="1"/>
        <rFont val="Arial"/>
        <family val="2"/>
      </rPr>
      <t>Dates:</t>
    </r>
    <r>
      <rPr>
        <sz val="12"/>
        <color theme="1"/>
        <rFont val="Arial"/>
        <family val="2"/>
      </rPr>
      <t xml:space="preserve"> December 4, 2023</t>
    </r>
  </si>
  <si>
    <t>December 4, 2023</t>
  </si>
  <si>
    <t>Provision of meals and snacks intended for the conduct of the 4th Quarter RDRRMC Full Council Meeting on December 4, 2023</t>
  </si>
  <si>
    <t>Delivery Site: Bancasi, Butuan City</t>
  </si>
  <si>
    <t>Delivery Period: December 4, 2023</t>
  </si>
  <si>
    <t>PR No.   : 2023-11</t>
  </si>
  <si>
    <t>Date:Nov. 30, 2023</t>
  </si>
  <si>
    <t>Provision of Token of Appreciation for RDRRMC Technical Working Group Members during the TWG Year-End Fellowship on December 13, 2023</t>
  </si>
  <si>
    <t>December 13, 2023</t>
  </si>
  <si>
    <t>December 13, 2024</t>
  </si>
  <si>
    <t>Customized Bag</t>
  </si>
  <si>
    <t>Customized Mug</t>
  </si>
  <si>
    <t>MUG: White mug printed with OCD and RDRRMC Logo</t>
  </si>
  <si>
    <t>BAG: Shoulder Bag, made of Abacca, with printed OCD and RDRRMC Logo</t>
  </si>
  <si>
    <t>LIZA R. MAZO, CESO V</t>
  </si>
  <si>
    <t>Head, Policy Development and Planning Section</t>
  </si>
  <si>
    <t>PR No.   : 2024-01</t>
  </si>
  <si>
    <t>Date:January 22, 2024</t>
  </si>
  <si>
    <t>Provision of agenda folder with print intended for the conduct of the 1st Quarter RDRRMC Full Council Meeting on March 21, 2024</t>
  </si>
  <si>
    <t>March 8, 2024@9:00AM</t>
  </si>
  <si>
    <t>12x18inches Mirror Coat Folded with print and pocket</t>
  </si>
  <si>
    <t>Sizes: 5ft x 10ft</t>
  </si>
  <si>
    <t>Provision of tarpaulin intended for the conduct of the 2nd Quarter RDRRMC Full Council Meeting on June 20, 2024</t>
  </si>
  <si>
    <t>June 14, 2024@9:00am</t>
  </si>
  <si>
    <t>1 Soup
2 Main Dish (choice of pork/chicken/fish or beef)
1 Side Dish (vegetable)
1 Dessert
1 Beverage</t>
  </si>
  <si>
    <t>Choice of pasta, noodles, pastry/sandwich with one beverage</t>
  </si>
  <si>
    <t>Choice of pasta, noodles, pastry/sandwich, kakanin with one beverage</t>
  </si>
  <si>
    <t>Caraga Regional Office</t>
  </si>
  <si>
    <t>Camp Romualdo C Rubi, Bancasi, Butuan City</t>
  </si>
  <si>
    <t>Hotline Numbers: 0947-946-8145 / (085) 817-1209</t>
  </si>
  <si>
    <t>E-mail Address: civildefensecaraga@gmail.com</t>
  </si>
  <si>
    <t>Facebook Page: Civil Defense Caraga</t>
  </si>
  <si>
    <t>PR No.   :</t>
  </si>
  <si>
    <t>Meal &amp; Snacks Services:</t>
  </si>
  <si>
    <r>
      <rPr>
        <b/>
        <sz val="12"/>
        <color theme="1"/>
        <rFont val="Arial"/>
        <family val="2"/>
      </rPr>
      <t>Delivery Site</t>
    </r>
    <r>
      <rPr>
        <sz val="12"/>
        <color theme="1"/>
        <rFont val="Arial"/>
        <family val="2"/>
      </rPr>
      <t>:Office of Civil Defense Caraga, Camp Romualdo C Rubi, Bancasi, Butuan City</t>
    </r>
  </si>
  <si>
    <r>
      <rPr>
        <b/>
        <sz val="14"/>
        <color theme="1"/>
        <rFont val="Arial"/>
        <family val="2"/>
      </rPr>
      <t>OFFICE OF CIVIL DEFENSE</t>
    </r>
    <r>
      <rPr>
        <sz val="12"/>
        <color theme="1"/>
        <rFont val="Arial"/>
        <family val="2"/>
      </rPr>
      <t xml:space="preserve">
Caraga Regional Office
Camp Romualdo C Rubi, Bancasi, Butuan City
Hotline Numbers: 0947-946-8145 / (085) 817-1209
E-mail Address: civildefensecaraga@gmail.com
Facebook Page: Civil Defense Caraga</t>
    </r>
  </si>
  <si>
    <t>PR No.   : 2024-05-01</t>
  </si>
  <si>
    <t>Date: 'May 02, 2024</t>
  </si>
  <si>
    <t>Lot 1: Provision of Lease of Venue including Meals and Snacks for the Orientation on Guidelines for Gawad KALASAG Seal for LGUs in May 16, 2024 (CDE);</t>
  </si>
  <si>
    <r>
      <rPr>
        <b/>
        <sz val="12"/>
        <color theme="1"/>
        <rFont val="Arial"/>
        <family val="2"/>
      </rPr>
      <t>Location:</t>
    </r>
    <r>
      <rPr>
        <sz val="12"/>
        <color theme="1"/>
        <rFont val="Arial"/>
        <family val="2"/>
      </rPr>
      <t xml:space="preserve"> Within Butuan City</t>
    </r>
  </si>
  <si>
    <r>
      <t xml:space="preserve">Permit:  </t>
    </r>
    <r>
      <rPr>
        <sz val="12"/>
        <color theme="1"/>
        <rFont val="Arial"/>
        <family val="2"/>
      </rPr>
      <t>With permit to operate from DOT</t>
    </r>
  </si>
  <si>
    <r>
      <rPr>
        <b/>
        <sz val="12"/>
        <color theme="1"/>
        <rFont val="Arial"/>
        <family val="2"/>
      </rPr>
      <t>Dates:</t>
    </r>
    <r>
      <rPr>
        <sz val="12"/>
        <color theme="1"/>
        <rFont val="Arial"/>
        <family val="2"/>
      </rPr>
      <t xml:space="preserve"> May 16, 2024 (Subject to change upon confirmation of both parties)</t>
    </r>
  </si>
  <si>
    <t>May 16, 2024</t>
  </si>
  <si>
    <t>Lot 2: Regional Gawad KALASAG Seal for LDRRMCOs Desktop Evaluation on July 23-26, 2024 (CDE)</t>
  </si>
  <si>
    <r>
      <rPr>
        <b/>
        <sz val="12"/>
        <color theme="1"/>
        <rFont val="Arial"/>
        <family val="2"/>
      </rPr>
      <t>Permit:</t>
    </r>
    <r>
      <rPr>
        <sz val="12"/>
        <color theme="1"/>
        <rFont val="Arial"/>
        <family val="2"/>
      </rPr>
      <t xml:space="preserve"> With permit to operate from DOT</t>
    </r>
  </si>
  <si>
    <r>
      <rPr>
        <b/>
        <sz val="12"/>
        <color theme="1"/>
        <rFont val="Arial"/>
        <family val="2"/>
      </rPr>
      <t>Dates:</t>
    </r>
    <r>
      <rPr>
        <sz val="12"/>
        <color theme="1"/>
        <rFont val="Arial"/>
        <family val="2"/>
      </rPr>
      <t xml:space="preserve"> July 23-26, 2024 (Subject to change upon confirmation of both parties)</t>
    </r>
  </si>
  <si>
    <t>July 23-26, 2024</t>
  </si>
  <si>
    <t>Lot 3: GK Seal for LDRRMCOs Online Engagement on August 13-16, 2024 (CDE)</t>
  </si>
  <si>
    <r>
      <rPr>
        <b/>
        <sz val="12"/>
        <color theme="1"/>
        <rFont val="Arial"/>
        <family val="2"/>
      </rPr>
      <t>Dates:</t>
    </r>
    <r>
      <rPr>
        <sz val="12"/>
        <color theme="1"/>
        <rFont val="Arial"/>
        <family val="2"/>
      </rPr>
      <t xml:space="preserve"> August 13-16 2024 (Subject to change upon confirmation of both parties)</t>
    </r>
  </si>
  <si>
    <t>August 13-16 2024</t>
  </si>
  <si>
    <t>Lot 4: 2024 Gawad KALASAG Seal Special Awards Desktop Evaluation on July 23-24, 2024 (DRRM)</t>
  </si>
  <si>
    <r>
      <rPr>
        <b/>
        <sz val="12"/>
        <color theme="1"/>
        <rFont val="Arial"/>
        <family val="2"/>
      </rPr>
      <t>Dates:</t>
    </r>
    <r>
      <rPr>
        <sz val="12"/>
        <color theme="1"/>
        <rFont val="Arial"/>
        <family val="2"/>
      </rPr>
      <t xml:space="preserve"> July 23-24, 2024 (Subject to change upon confirmation of both parties)</t>
    </r>
  </si>
  <si>
    <t>July 23-24, 2024</t>
  </si>
  <si>
    <t xml:space="preserve">Meals must be Manage Buffet </t>
  </si>
  <si>
    <t>Hotel must be flexible in addressing the nutritional  requirements and dietary restrictions of the guests.</t>
  </si>
  <si>
    <t>Must have free-flowing coffee/tea during the duration of activity at the conference room/function hall</t>
  </si>
  <si>
    <t>Must have internet connection at least 20 mbps commited information rate in the assigned function room</t>
  </si>
  <si>
    <t xml:space="preserve">Function room to comfortably house the total number of pax indicated in each lot. </t>
  </si>
  <si>
    <r>
      <t xml:space="preserve">Must provide whiteboard </t>
    </r>
    <r>
      <rPr>
        <sz val="11"/>
        <color indexed="8"/>
        <rFont val="Arial"/>
        <family val="2"/>
      </rPr>
      <t>with markers and erasers and alcohol</t>
    </r>
  </si>
  <si>
    <r>
      <t>Must provide free</t>
    </r>
    <r>
      <rPr>
        <b/>
        <sz val="11"/>
        <color indexed="8"/>
        <rFont val="Arial"/>
        <family val="2"/>
      </rPr>
      <t xml:space="preserve"> </t>
    </r>
    <r>
      <rPr>
        <sz val="11"/>
        <color indexed="8"/>
        <rFont val="Arial"/>
        <family val="2"/>
      </rPr>
      <t>parking space for participants/facilitators</t>
    </r>
  </si>
  <si>
    <t xml:space="preserve">Terms and Conditions: </t>
  </si>
  <si>
    <t>The Procuring Entity reserves the right to terminate the contract in case of poor performance, or in the event that the need for such service becomes unnecessary.</t>
  </si>
  <si>
    <t>PAYMENT:  Must accept SEND-BILL POLICY as payment for services.</t>
  </si>
  <si>
    <t>Quoted prices must be inclusive of applicable fees and taxes, and charges for incidental services.</t>
  </si>
  <si>
    <t>Provision of lease of venue including meals and snacks intended for the conduct Gawad KALASAG 2024 Activities</t>
  </si>
  <si>
    <t xml:space="preserve">Requested by: </t>
  </si>
  <si>
    <t>Date: May 3, 2024</t>
  </si>
  <si>
    <t>Provision of 1 Meal and 2 Snacks intended for the conduct of Monthly Staff Meeting for the Month of May 2024</t>
  </si>
  <si>
    <r>
      <rPr>
        <b/>
        <sz val="12"/>
        <color theme="1"/>
        <rFont val="Arial"/>
        <family val="2"/>
      </rPr>
      <t>Delivery Period:</t>
    </r>
    <r>
      <rPr>
        <sz val="12"/>
        <color theme="1"/>
        <rFont val="Arial"/>
        <family val="2"/>
      </rPr>
      <t xml:space="preserve"> May 9, 2024</t>
    </r>
  </si>
  <si>
    <r>
      <rPr>
        <b/>
        <i/>
        <sz val="11"/>
        <color rgb="FF000000"/>
        <rFont val="Arial"/>
        <family val="2"/>
      </rPr>
      <t>Payment</t>
    </r>
    <r>
      <rPr>
        <i/>
        <sz val="11"/>
        <color rgb="FF000000"/>
        <rFont val="Arial"/>
        <family val="2"/>
      </rPr>
      <t>:  Must accept SEND-BILL POLICY as payment for services.</t>
    </r>
  </si>
  <si>
    <r>
      <rPr>
        <b/>
        <i/>
        <sz val="11"/>
        <color rgb="FF000000"/>
        <rFont val="Arial"/>
        <family val="2"/>
      </rPr>
      <t>Chargeability</t>
    </r>
    <r>
      <rPr>
        <sz val="11"/>
        <color rgb="FF000000"/>
        <rFont val="Arial"/>
        <family val="2"/>
      </rPr>
      <t>: DRRM FUND (APB FY 2024: GAA)</t>
    </r>
  </si>
  <si>
    <t>Procurement of Prepaid Cards for PDPS Hotline (Globe) P 520.00 every quarter</t>
  </si>
  <si>
    <t>Date:May 3, 2024</t>
  </si>
  <si>
    <t>Load Card</t>
  </si>
  <si>
    <t>Globe Prepaid Card</t>
  </si>
  <si>
    <t>cards</t>
  </si>
  <si>
    <t>OFFICE OF CIVIL DEFENSE</t>
  </si>
  <si>
    <t xml:space="preserve">PR No.   : </t>
  </si>
  <si>
    <t>Date: May 6, 2024</t>
  </si>
  <si>
    <t>Provision of lease of venue including meals and snacks intended for the conduct of 1st and 2nd Quarter RDRRMC Full Council Meeting on June 20, 2024</t>
  </si>
  <si>
    <t>Dinner</t>
  </si>
  <si>
    <t>PR No.   : 2024-05-</t>
  </si>
  <si>
    <t xml:space="preserve">Procurement of Polo Shirt for Regional Validation Committee for GK Seal for LDRRMCO </t>
  </si>
  <si>
    <r>
      <rPr>
        <b/>
        <sz val="12"/>
        <color theme="1"/>
        <rFont val="Arial"/>
        <family val="2"/>
      </rPr>
      <t>Dates:</t>
    </r>
    <r>
      <rPr>
        <sz val="12"/>
        <color theme="1"/>
        <rFont val="Arial"/>
        <family val="2"/>
      </rPr>
      <t xml:space="preserve"> July 1, 2024  (Subject to change upon confirmation of both parties)</t>
    </r>
  </si>
  <si>
    <t>July 1, 2024</t>
  </si>
  <si>
    <r>
      <t xml:space="preserve">OFFICE OF CIVIL DEFENSE
</t>
    </r>
    <r>
      <rPr>
        <sz val="12"/>
        <color theme="1"/>
        <rFont val="Arial"/>
        <family val="2"/>
      </rPr>
      <t>Caraga Regional Office
Camp Romualdo C Rubi, Bancasi, Butuan City
Hotline Numbers: 0947-946-8145 / (085) 817-1209
E-mail Address: civildefensecaraga@gmail.com
Facebook Page: Civil Defense Caraga</t>
    </r>
  </si>
  <si>
    <t>PR No.   : 2024-05</t>
  </si>
  <si>
    <t>Polo Shirt</t>
  </si>
  <si>
    <t>1. The Procuring Entity reserves the right to terminate the contract in case of poor performance, or in the event that the need for such service becomes unnecessary.</t>
  </si>
  <si>
    <r>
      <rPr>
        <b/>
        <sz val="11"/>
        <color rgb="FF000000"/>
        <rFont val="Arial"/>
        <family val="2"/>
      </rPr>
      <t>Payment</t>
    </r>
    <r>
      <rPr>
        <sz val="11"/>
        <color rgb="FF000000"/>
        <rFont val="Arial"/>
        <family val="2"/>
      </rPr>
      <t>:  
1. Must accept SEND-BILL POLICY as payment for services.</t>
    </r>
  </si>
  <si>
    <t>2. Quoted prices must be inclusive of applicable fees and taxes, and charges for incidental services.</t>
  </si>
  <si>
    <t>CDO III/Head, PDPS</t>
  </si>
  <si>
    <t>Procurement of Shirt for Gawad KALASAG Seal Field Validation on July 2024</t>
  </si>
  <si>
    <t xml:space="preserve">     </t>
  </si>
  <si>
    <r>
      <rPr>
        <b/>
        <sz val="12"/>
        <rFont val="Arial"/>
        <family val="2"/>
      </rPr>
      <t>Color</t>
    </r>
    <r>
      <rPr>
        <sz val="12"/>
        <rFont val="Arial"/>
        <family val="2"/>
      </rPr>
      <t xml:space="preserve">: Blue and Gold
</t>
    </r>
    <r>
      <rPr>
        <b/>
        <sz val="12"/>
        <rFont val="Arial"/>
        <family val="2"/>
      </rPr>
      <t>Texture Type</t>
    </r>
    <r>
      <rPr>
        <sz val="12"/>
        <rFont val="Arial"/>
        <family val="2"/>
      </rPr>
      <t xml:space="preserve">: Cotton
</t>
    </r>
    <r>
      <rPr>
        <b/>
        <sz val="12"/>
        <rFont val="Arial"/>
        <family val="2"/>
      </rPr>
      <t>Printing Method</t>
    </r>
    <r>
      <rPr>
        <sz val="12"/>
        <rFont val="Arial"/>
        <family val="2"/>
      </rPr>
      <t xml:space="preserve">: Embroidered, Vinyl or Laser Printing
</t>
    </r>
    <r>
      <rPr>
        <b/>
        <sz val="12"/>
        <rFont val="Arial"/>
        <family val="2"/>
      </rPr>
      <t>Collar</t>
    </r>
    <r>
      <rPr>
        <sz val="12"/>
        <rFont val="Arial"/>
        <family val="2"/>
      </rPr>
      <t xml:space="preserve">: Knitted with cuffs
</t>
    </r>
    <r>
      <rPr>
        <b/>
        <sz val="12"/>
        <rFont val="Arial"/>
        <family val="2"/>
      </rPr>
      <t>Logo Design</t>
    </r>
    <r>
      <rPr>
        <sz val="12"/>
        <rFont val="Arial"/>
        <family val="2"/>
      </rPr>
      <t xml:space="preserve">: Gawad KALASAG Logo, RDRRMC Logo
</t>
    </r>
    <r>
      <rPr>
        <b/>
        <sz val="12"/>
        <rFont val="Arial"/>
        <family val="2"/>
      </rPr>
      <t>Back Design</t>
    </r>
    <r>
      <rPr>
        <sz val="12"/>
        <rFont val="Arial"/>
        <family val="2"/>
      </rPr>
      <t>: with Logo and Text</t>
    </r>
  </si>
  <si>
    <t>*Sizes are subject to changes upon finalization of list of sizes
*Winning supplier must submit a prototype design and sample shirt sizes
*Warrant for at least seven (7) days workmanship: Provision of replacement in case of defect such as faulty stitching, misprints, and other issues directly related to procduction</t>
  </si>
  <si>
    <t>Pre-Delivery Inspection:</t>
  </si>
  <si>
    <t>*The Pre-Delivery Inspection (PDI) must be done by the Technical inspection and Acceptance Committee (TIAC) and the end-users representatives at the OCD Caraga Regional Office
*Inspection of all sizes should be done to ensure items are available during the delivery</t>
  </si>
  <si>
    <r>
      <rPr>
        <b/>
        <sz val="11"/>
        <color rgb="FF000000"/>
        <rFont val="Arial"/>
        <family val="2"/>
      </rPr>
      <t>Chargeability</t>
    </r>
    <r>
      <rPr>
        <sz val="11"/>
        <color rgb="FF000000"/>
        <rFont val="Arial"/>
        <family val="2"/>
      </rPr>
      <t>: CDE FUND (APB FY 2024: GAA)</t>
    </r>
  </si>
  <si>
    <t>Date:May 8, 2024</t>
  </si>
  <si>
    <t>Payment for Additional 500 participants in the Zoom Meeting Account</t>
  </si>
  <si>
    <t>Large Meetings
500 Participants</t>
  </si>
  <si>
    <t>Date/Time of Payment</t>
  </si>
  <si>
    <t>May 13, 2024 @ 9:00AM</t>
  </si>
  <si>
    <r>
      <rPr>
        <b/>
        <sz val="12"/>
        <color theme="1"/>
        <rFont val="Arial"/>
        <family val="2"/>
      </rPr>
      <t>OFFICE OF CIVIL DEFENSE</t>
    </r>
    <r>
      <rPr>
        <sz val="12"/>
        <color theme="1"/>
        <rFont val="Arial"/>
        <family val="2"/>
      </rPr>
      <t xml:space="preserve">
Caraga Regional Office
Camp Romualdo C Rubi, Bancasi, Butuan City
Hotline Numbers: 0947-946-8145 / (085) 817-1209
E-mail Address: civildefensecaraga@gmail.com
Facebook Page: Civil Defense Caraga</t>
    </r>
  </si>
  <si>
    <t>Photocopy/Printing of related documents intended for the conduct of Orientation on Guidelines for Gawad KALASAG Seal for LGUs in May 17, 2024</t>
  </si>
  <si>
    <t>Sizes: 1 pc 5ft x 9ft
            2 pcs 2.5ft x 6ft</t>
  </si>
  <si>
    <t>Provision of lease of venue including meals and snacks intended for the conduct of the Workshop for the Formulation of OCD Caraga APB for 2025</t>
  </si>
  <si>
    <r>
      <rPr>
        <b/>
        <sz val="12"/>
        <color theme="1"/>
        <rFont val="Arial"/>
        <family val="2"/>
      </rPr>
      <t>Dates:</t>
    </r>
    <r>
      <rPr>
        <sz val="12"/>
        <color theme="1"/>
        <rFont val="Arial"/>
        <family val="2"/>
      </rPr>
      <t xml:space="preserve"> June 7, 2024  (Subject to change upon confirmation of both parties)</t>
    </r>
  </si>
  <si>
    <t>Must provide AV equipment such as one (1) LCD projector, 1 (1) flat screen/projector screen, sound system, with at least three (3) Microphones</t>
  </si>
  <si>
    <t>Date: May 15, 2024</t>
  </si>
  <si>
    <t>Date:May 20, 2024</t>
  </si>
  <si>
    <t>Date: July 15, 2024</t>
  </si>
  <si>
    <t>Breakfast</t>
  </si>
  <si>
    <t>July 22-26, 2024</t>
  </si>
  <si>
    <t>Provision of 3 meals and 2 snacks for evaluators at 900/pax/day for the conduct of Gawad KALASAG Special Awards Field Validation from July 22-26, 2024</t>
  </si>
  <si>
    <t>Date:August 14, 2024</t>
  </si>
  <si>
    <t>Sept. 20, 2024@9:00AM</t>
  </si>
  <si>
    <t>Provision of photocopy of documents intended for the conduct of the Quarterly RDRRMC Full Council Meeting</t>
  </si>
  <si>
    <t>Provision of 1 Meal and 2 Snacks intended for the conduct Review of Local DRRM Plans (LDRRMP) and Annual Investment Plan (AIP) with the Regional Local Review Team</t>
  </si>
  <si>
    <r>
      <rPr>
        <b/>
        <sz val="12"/>
        <color theme="1"/>
        <rFont val="Arial"/>
        <family val="2"/>
      </rPr>
      <t>Delivery Period:</t>
    </r>
    <r>
      <rPr>
        <sz val="12"/>
        <color theme="1"/>
        <rFont val="Arial"/>
        <family val="2"/>
      </rPr>
      <t xml:space="preserve"> September 13, 2024</t>
    </r>
  </si>
  <si>
    <t>Pack/Buffet</t>
  </si>
  <si>
    <t>Provision of agenda folder with print intended for the conduct of Quarterly RDRRMC Full Council Meeting</t>
  </si>
  <si>
    <t>Provision of 1 Meal and 2 Snacks intended for the conduct of Workshop for the Assessment OCD Caraga 1st Semester of 2024 Accomplishment</t>
  </si>
  <si>
    <r>
      <rPr>
        <b/>
        <sz val="12"/>
        <color theme="1"/>
        <rFont val="Arial"/>
        <family val="2"/>
      </rPr>
      <t>Delivery Period:</t>
    </r>
    <r>
      <rPr>
        <sz val="12"/>
        <color theme="1"/>
        <rFont val="Arial"/>
        <family val="2"/>
      </rPr>
      <t xml:space="preserve"> August 30, 2024</t>
    </r>
  </si>
  <si>
    <t>August 30, 2024</t>
  </si>
  <si>
    <r>
      <rPr>
        <b/>
        <sz val="12"/>
        <color theme="1"/>
        <rFont val="Arial"/>
        <family val="2"/>
      </rPr>
      <t>Dates:</t>
    </r>
    <r>
      <rPr>
        <sz val="12"/>
        <color theme="1"/>
        <rFont val="Arial"/>
        <family val="2"/>
      </rPr>
      <t xml:space="preserve"> December 4, 2024 (Subject to change upon confirmation of both parties)</t>
    </r>
  </si>
  <si>
    <t>December 4, 2024</t>
  </si>
  <si>
    <t>Lot 1: Provision of lease of venue including meals and snacks intended for the conduct of the 4th Quarter RDRRMC Full Council Meeting on December 4, 2024</t>
  </si>
  <si>
    <t>Provision of lease of venue including meals and snacks intended for the conduct of 3rd and 4th Quarter RDRRMC Full Council Meetings</t>
  </si>
  <si>
    <r>
      <rPr>
        <b/>
        <sz val="12"/>
        <color theme="1"/>
        <rFont val="Arial"/>
        <family val="2"/>
      </rPr>
      <t>Dates:</t>
    </r>
    <r>
      <rPr>
        <sz val="12"/>
        <color theme="1"/>
        <rFont val="Arial"/>
        <family val="2"/>
      </rPr>
      <t xml:space="preserve"> November 28, 2024  (Subject to change upon confirmation of both parties)</t>
    </r>
  </si>
  <si>
    <t>Provision of lease of venue including meals and snacks intended for the conduct of the Gawad KALASAG National Awarding</t>
  </si>
  <si>
    <t>Date: Sept. 9, 2024</t>
  </si>
  <si>
    <t>November 28, 2024</t>
  </si>
  <si>
    <t>Date:Sept. 9, 2024</t>
  </si>
  <si>
    <t>Provision of Souvenirs and Tokens for the Gawad KALASAG Awarding</t>
  </si>
  <si>
    <t>Souvenir/Token</t>
  </si>
  <si>
    <t>November 15, 2024</t>
  </si>
  <si>
    <t>Lot 1: Provision of lease of venue including meals and snacks intended for the conduct of the 3rd Quarter RDRRMC Full Council Meeting on September 25, 2024</t>
  </si>
  <si>
    <r>
      <rPr>
        <b/>
        <sz val="12"/>
        <color theme="1"/>
        <rFont val="Arial"/>
        <family val="2"/>
      </rPr>
      <t>Dates:</t>
    </r>
    <r>
      <rPr>
        <sz val="12"/>
        <color theme="1"/>
        <rFont val="Arial"/>
        <family val="2"/>
      </rPr>
      <t xml:space="preserve"> September 25, 2024  (Subject to change upon confirmation of both parties)</t>
    </r>
  </si>
  <si>
    <t>September 25, 2024</t>
  </si>
  <si>
    <t>Date: Sept. 4, 2024</t>
  </si>
  <si>
    <t>Date: Sept. 10, 2024</t>
  </si>
  <si>
    <t>LOT 1: Procurement of Plaques intended for the conduct of 24th National Awarding of Gawad KALASAG Seal and Special Awards on November 28, 2024 in Butuan City</t>
  </si>
  <si>
    <t>PR No.   : 2024-09</t>
  </si>
  <si>
    <t>Date:09/30/24</t>
  </si>
  <si>
    <t>LOT 2: Procurement of Tokens/Souvenirs intended for the conduct of 24th National Awarding of Gawad KALASAG Seal and Special Awards on November 28, 2024 in Butuan City</t>
  </si>
  <si>
    <t>Keychain</t>
  </si>
  <si>
    <t xml:space="preserve">Premium mahogany wood finished with Acrylic </t>
  </si>
  <si>
    <t>Laser cutted wood</t>
  </si>
  <si>
    <t>Premium mahogany wood finished with acrylic</t>
  </si>
  <si>
    <t>3. Omnibus Sworn Statement (for projects above Php 50,000.00)</t>
  </si>
  <si>
    <r>
      <t>Chargeability:</t>
    </r>
    <r>
      <rPr>
        <i/>
        <sz val="12"/>
        <color theme="1"/>
        <rFont val="Arial"/>
        <family val="2"/>
      </rPr>
      <t xml:space="preserve"> 2024 DRRM Fund: GAA </t>
    </r>
  </si>
  <si>
    <t>Provision of 1 Meal and 2 Snacks intended for the conduct of the 4th Quarter RDRRMC TWG Meeting on November 15, 2024</t>
  </si>
  <si>
    <r>
      <rPr>
        <b/>
        <sz val="12"/>
        <color theme="1"/>
        <rFont val="Arial"/>
        <family val="2"/>
      </rPr>
      <t>Delivery Period:</t>
    </r>
    <r>
      <rPr>
        <sz val="12"/>
        <color theme="1"/>
        <rFont val="Arial"/>
        <family val="2"/>
      </rPr>
      <t xml:space="preserve"> November 15, 2024</t>
    </r>
  </si>
  <si>
    <t>LORENE SIA CATEDRAL</t>
  </si>
  <si>
    <t>Officer-in-Charge</t>
  </si>
  <si>
    <t>Procurement of Certificate Board for the 24th Gawad KALASAG Awarding Ceremony</t>
  </si>
  <si>
    <t>Certificate Board (A4)</t>
  </si>
  <si>
    <t>Sizes: Size: A4
          GSM: 100</t>
  </si>
  <si>
    <t>Date:Nov. 11, 2024</t>
  </si>
  <si>
    <t>Date: Nov. 15, 2024</t>
  </si>
  <si>
    <t>Provision of 1 Meal for the conduct of Conduct of Hanyag Talidhay: A Community Extension for Vulnerable Sector</t>
  </si>
  <si>
    <r>
      <rPr>
        <b/>
        <sz val="12"/>
        <color theme="1"/>
        <rFont val="Arial"/>
        <family val="2"/>
      </rPr>
      <t>Delivery Period:</t>
    </r>
    <r>
      <rPr>
        <sz val="12"/>
        <color theme="1"/>
        <rFont val="Arial"/>
        <family val="2"/>
      </rPr>
      <t xml:space="preserve"> December 11, 2024</t>
    </r>
  </si>
  <si>
    <t>Meal</t>
  </si>
  <si>
    <t xml:space="preserve"> December 11, 2024</t>
  </si>
  <si>
    <t>packed</t>
  </si>
  <si>
    <t>MS. LORENE SIA CATEDRAL</t>
  </si>
  <si>
    <t xml:space="preserve">Procurement of Certificate Paper </t>
  </si>
  <si>
    <t xml:space="preserve">Certificate Paper </t>
  </si>
  <si>
    <t>Date:Nov. 18, 2024</t>
  </si>
  <si>
    <t>Procurement of Certificate Paper</t>
  </si>
  <si>
    <t>Size: A4</t>
  </si>
  <si>
    <t>Color: Plain White</t>
  </si>
  <si>
    <t>Nov. 20, 2024 @ 9:00AM</t>
  </si>
  <si>
    <t>FREN ELIAS D. MALINAO</t>
  </si>
  <si>
    <t>Planning Technical Staff, PDPS</t>
  </si>
  <si>
    <t>Date: November 11, 2024</t>
  </si>
  <si>
    <t>Dec. 3, 2024 @ 9:00AM</t>
  </si>
  <si>
    <t>Provision of tarpaulin intended for the conduct of the 4th Quarter RDRRMC Full Council Meeting on December 05, 2024</t>
  </si>
  <si>
    <t>Technical Staff, PDPS / CDO I</t>
  </si>
  <si>
    <t>Date:11-25-2024</t>
  </si>
  <si>
    <t>Provision of Token for the conduct of Conduct of Hanyag Talidhay: A Community Extension for Vulnerable Sector</t>
  </si>
  <si>
    <t>PR No.   : 2025-01-</t>
  </si>
  <si>
    <t>Date: Jan. 20, 2025</t>
  </si>
  <si>
    <t>Sizes: 12x18inches
Mirror Coat Folded with print and pocket
Customized Design</t>
  </si>
  <si>
    <r>
      <rPr>
        <b/>
        <sz val="12"/>
        <color theme="1"/>
        <rFont val="Arial"/>
        <family val="2"/>
      </rPr>
      <t xml:space="preserve">Chargeability:
</t>
    </r>
    <r>
      <rPr>
        <sz val="12"/>
        <color theme="1"/>
        <rFont val="Arial"/>
        <family val="2"/>
      </rPr>
      <t>DRRM FUND (APB FY 2025: GAA)</t>
    </r>
  </si>
  <si>
    <t>Date:Jan. 20, 2025</t>
  </si>
  <si>
    <t>Procurement of Various Materials (Flags, Logos, Emblems) for the Quarterly RDRRM Full Council Meetings</t>
  </si>
  <si>
    <t>March 15, 2025</t>
  </si>
  <si>
    <t>Flag: 
at least 4ft x 6ft in size
Logo/Emlbem:
at least 1.5ft x 1.5ft in size
choices of Acrylic/Stainless</t>
  </si>
  <si>
    <t>1 RDRRMC Flag
1 Philippine Flag
Acrylic/Stainless Logo/Emlbem
1 RDRRMC Logo
1 Gawad KALASAG Logo</t>
  </si>
  <si>
    <t>February 15, 2025</t>
  </si>
  <si>
    <t>photocopy of documents (30pages, 80 sets)</t>
  </si>
  <si>
    <t>3.The Procuring Entity reserves the right to terminate the contract in case of poor performance, or in the event that the need for such service becomes unnecessary.</t>
  </si>
  <si>
    <t>Requirements:</t>
  </si>
  <si>
    <t>Printing of Agenda Folders for the Quarterly RDRRM Full Council Meetings (4 Lots)</t>
  </si>
  <si>
    <t xml:space="preserve">Agenda Folders </t>
  </si>
  <si>
    <t>March 17, 2025</t>
  </si>
  <si>
    <t>Lot 1: Printing of Agenda Folders for the First Quarter RDRRM Full Council Meeting</t>
  </si>
  <si>
    <t xml:space="preserve">Lot 2: Printing of Agenda Folders for the Second Quarter RDRRM Full Council Meeting </t>
  </si>
  <si>
    <t xml:space="preserve">
'June 01, 2025
</t>
  </si>
  <si>
    <t xml:space="preserve">Lot 3: Printing of Agenda Folders for the Third Quarter RDRRM Full Council Meeting </t>
  </si>
  <si>
    <t xml:space="preserve">
'August 19, 2025
</t>
  </si>
  <si>
    <t xml:space="preserve">Lot 4: Printing of Agenda Folders for the Fourth Quarter RDRRM Full Council Meeting </t>
  </si>
  <si>
    <t xml:space="preserve">
'November 27, 2025
</t>
  </si>
  <si>
    <r>
      <t xml:space="preserve">Must accept </t>
    </r>
    <r>
      <rPr>
        <b/>
        <sz val="12"/>
        <color indexed="8"/>
        <rFont val="Arial"/>
        <family val="2"/>
      </rPr>
      <t>SEND BILL</t>
    </r>
    <r>
      <rPr>
        <sz val="12"/>
        <color indexed="8"/>
        <rFont val="Arial"/>
        <family val="2"/>
      </rPr>
      <t xml:space="preserve"> policy (progressive billing, quarterly)</t>
    </r>
    <r>
      <rPr>
        <sz val="12"/>
        <color theme="1"/>
        <rFont val="Arial"/>
        <family val="2"/>
      </rPr>
      <t>.</t>
    </r>
  </si>
  <si>
    <t xml:space="preserve">February 27, 2025
</t>
  </si>
  <si>
    <t>1 Main Dish (choice of pork/chicken/fish or beef)
1 Side Dish (vegetable)
1 Dessert
1 Beverage</t>
  </si>
  <si>
    <t>Lot 1: Provision of Meal and Snacks for the First RDRRMC-TWG Meeting</t>
  </si>
  <si>
    <t>Free flowing water and coffee</t>
  </si>
  <si>
    <t>Lot 2: Provision of Meal and Snacks for the Second RDRRMC-TWG Meeting</t>
  </si>
  <si>
    <t xml:space="preserve">June 3, 2025
</t>
  </si>
  <si>
    <t xml:space="preserve">August 28, 2025
</t>
  </si>
  <si>
    <t>Lot 3: Provision of Meal and Snacks for the Third RDRRMC-TWG Meeting</t>
  </si>
  <si>
    <t>Lot 4: Provision of Meal and Snacks for the Fourth RDRRMC-TWG Meeting</t>
  </si>
  <si>
    <t>Provision of Meals and Snacks for the Quarterly RDRRMC-TWG Meetings (4 Lots)</t>
  </si>
  <si>
    <r>
      <rPr>
        <b/>
        <sz val="12"/>
        <color theme="1"/>
        <rFont val="Arial"/>
        <family val="2"/>
      </rPr>
      <t>Delivery Site</t>
    </r>
    <r>
      <rPr>
        <sz val="12"/>
        <color theme="1"/>
        <rFont val="Arial"/>
        <family val="2"/>
      </rPr>
      <t>: Office of Civil Defense Caraga, Camp Romualdo C Rubi, Bancasi, Butuan City</t>
    </r>
  </si>
  <si>
    <r>
      <t xml:space="preserve">Delivery Period: </t>
    </r>
    <r>
      <rPr>
        <sz val="12"/>
        <color theme="1"/>
        <rFont val="Arial"/>
        <family val="2"/>
      </rPr>
      <t>February 27, 2025 (Subject to change upon confirmation of both parties)</t>
    </r>
  </si>
  <si>
    <r>
      <t xml:space="preserve">Delivery Period: </t>
    </r>
    <r>
      <rPr>
        <sz val="12"/>
        <color theme="1"/>
        <rFont val="Arial"/>
        <family val="2"/>
      </rPr>
      <t>June 03, 2025 (Subject to change upon confirmation of both parties)</t>
    </r>
  </si>
  <si>
    <r>
      <t xml:space="preserve">Delivery Period: </t>
    </r>
    <r>
      <rPr>
        <sz val="12"/>
        <color theme="1"/>
        <rFont val="Arial"/>
        <family val="2"/>
      </rPr>
      <t>August 28, 2025 (Subject to change upon confirmation of both parties)</t>
    </r>
  </si>
  <si>
    <t xml:space="preserve">October 29, 2025
</t>
  </si>
  <si>
    <r>
      <t xml:space="preserve">Delivery Period: </t>
    </r>
    <r>
      <rPr>
        <sz val="12"/>
        <color theme="1"/>
        <rFont val="Arial"/>
        <family val="2"/>
      </rPr>
      <t>October 29, 2025 (Subject to change upon confirmation of both parties)</t>
    </r>
  </si>
  <si>
    <r>
      <rPr>
        <b/>
        <sz val="12"/>
        <color rgb="FF000000"/>
        <rFont val="Arial"/>
        <family val="2"/>
      </rPr>
      <t>Chargeability</t>
    </r>
    <r>
      <rPr>
        <sz val="12"/>
        <color rgb="FF000000"/>
        <rFont val="Arial"/>
        <family val="2"/>
      </rPr>
      <t>: DRRM FUND (APB FY 2025: GAA)</t>
    </r>
  </si>
  <si>
    <t>Requested by:</t>
  </si>
  <si>
    <t>1. Valid/Current Mayor’s Permit/Business Permit or Copy of Old License
     plus the Official Receipt of the Renewal Application</t>
  </si>
  <si>
    <t>2. PhilGEPs Registration Number (for ABC above Php 15,000.00)</t>
  </si>
  <si>
    <t>3. Omnibus Sworn Statement (for ABC above Php 50,000.00)</t>
  </si>
  <si>
    <t>4. Latest Income Tax Return (for ABC above Php 500,000.00)</t>
  </si>
  <si>
    <r>
      <t xml:space="preserve">Must accept </t>
    </r>
    <r>
      <rPr>
        <b/>
        <sz val="12"/>
        <color indexed="8"/>
        <rFont val="Arial"/>
        <family val="2"/>
      </rPr>
      <t>SEND BILL</t>
    </r>
    <r>
      <rPr>
        <sz val="12"/>
        <color indexed="8"/>
        <rFont val="Arial"/>
        <family val="2"/>
      </rPr>
      <t xml:space="preserve"> policy (progressive billing)</t>
    </r>
    <r>
      <rPr>
        <sz val="12"/>
        <color theme="1"/>
        <rFont val="Arial"/>
        <family val="2"/>
      </rPr>
      <t>.</t>
    </r>
  </si>
  <si>
    <r>
      <rPr>
        <b/>
        <sz val="12"/>
        <color theme="1"/>
        <rFont val="Arial"/>
        <family val="2"/>
      </rPr>
      <t>OFFICE OF CIVIL DEFENSE</t>
    </r>
    <r>
      <rPr>
        <sz val="12"/>
        <color theme="1"/>
        <rFont val="Arial"/>
        <family val="2"/>
      </rPr>
      <t xml:space="preserve">
Caraga Regional Office
Camp Romualdo C Rubi, Bancasi, Butuan City
Hotline Numbers: 0947-946-8145 
E-mail Address: civildefensecaraga@gmail.com
Facebook Page: Civil Defense Caraga</t>
    </r>
  </si>
  <si>
    <t>SAI No.  :N/A</t>
  </si>
  <si>
    <t>ALOBS No. N/A</t>
  </si>
  <si>
    <t>Date: N/A</t>
  </si>
  <si>
    <t>ATTY. APRIL ROSE ANNE Y. SANCHEZ-ELMEDULAN</t>
  </si>
  <si>
    <r>
      <rPr>
        <b/>
        <sz val="12"/>
        <color theme="1"/>
        <rFont val="Arial"/>
        <family val="2"/>
      </rPr>
      <t>Delivery Site:</t>
    </r>
    <r>
      <rPr>
        <sz val="12"/>
        <color theme="1"/>
        <rFont val="Arial"/>
        <family val="2"/>
      </rPr>
      <t xml:space="preserve"> OCD Caraga Regional Office, Camp Romualdo C Rubi, Butuan City</t>
    </r>
  </si>
  <si>
    <r>
      <rPr>
        <b/>
        <sz val="12"/>
        <color theme="1"/>
        <rFont val="Arial"/>
        <family val="2"/>
      </rPr>
      <t>Delivery Period:</t>
    </r>
    <r>
      <rPr>
        <sz val="12"/>
        <color theme="1"/>
        <rFont val="Arial"/>
        <family val="2"/>
      </rPr>
      <t xml:space="preserve"> Within 1st and 2nd Semester CY 2026 as (at least 5 days before the scheduled training) </t>
    </r>
  </si>
  <si>
    <t xml:space="preserve">Quantity </t>
  </si>
  <si>
    <t>{{block_title}}</t>
  </si>
  <si>
    <t>{{project_title}}</t>
  </si>
  <si>
    <t>{{section}}</t>
  </si>
  <si>
    <t xml:space="preserve">PR No.  :{{pr_number}} </t>
  </si>
  <si>
    <t>{{input_date}}</t>
  </si>
  <si>
    <t>{{total_cost}}</t>
  </si>
  <si>
    <t>{{items_start}}</t>
  </si>
  <si>
    <t>{{user_name}}</t>
  </si>
  <si>
    <t>{{user_designation}}</t>
  </si>
  <si>
    <t>{{overall_total}}</t>
  </si>
  <si>
    <r>
      <t xml:space="preserve">Chargeability: </t>
    </r>
    <r>
      <rPr>
        <sz val="12"/>
        <color theme="1"/>
        <rFont val="Arial"/>
        <family val="2"/>
      </rPr>
      <t>{{chargeability}}</t>
    </r>
    <r>
      <rPr>
        <b/>
        <sz val="12"/>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</si>
</sst>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mmmm\ d\,\ yyyy;@"/>
  </numFmts>
  <fonts count="55" x14ac:knownFonts="1">
    <font>
      <sz val="11"/>
      <color theme="1"/>
      <name val="Calibri"/>
      <family val="2"/>
      <scheme val="minor"/>
    </font>
    <font>
      <sz val="11"/>
      <color theme="1"/>
      <name val="Calibri"/>
      <family val="2"/>
      <scheme val="minor"/>
    </font>
    <font>
      <sz val="12"/>
      <color theme="1"/>
      <name val="Calibri"/>
      <family val="2"/>
      <scheme val="minor"/>
    </font>
    <font>
      <b/>
      <i/>
      <sz val="12"/>
      <color theme="1"/>
      <name val="Calibri"/>
      <family val="2"/>
      <scheme val="minor"/>
    </font>
    <font>
      <b/>
      <sz val="12"/>
      <color theme="1"/>
      <name val="Calibri"/>
      <family val="2"/>
      <scheme val="minor"/>
    </font>
    <font>
      <sz val="12"/>
      <color theme="1"/>
      <name val="Arial"/>
      <family val="2"/>
    </font>
    <font>
      <b/>
      <sz val="12"/>
      <color indexed="8"/>
      <name val="Arial"/>
      <family val="2"/>
    </font>
    <font>
      <sz val="12"/>
      <color indexed="8"/>
      <name val="Arial"/>
      <family val="2"/>
    </font>
    <font>
      <b/>
      <i/>
      <sz val="12"/>
      <color theme="1"/>
      <name val="Arial"/>
      <family val="2"/>
    </font>
    <font>
      <sz val="12"/>
      <name val="Arial"/>
      <family val="2"/>
    </font>
    <font>
      <b/>
      <sz val="12"/>
      <name val="Arial"/>
      <family val="2"/>
    </font>
    <font>
      <b/>
      <sz val="12"/>
      <color rgb="FFFF0000"/>
      <name val="Arial"/>
      <family val="2"/>
    </font>
    <font>
      <b/>
      <sz val="12"/>
      <color theme="1"/>
      <name val="Arial"/>
      <family val="2"/>
    </font>
    <font>
      <u/>
      <sz val="12"/>
      <color theme="1"/>
      <name val="Arial"/>
      <family val="2"/>
    </font>
    <font>
      <b/>
      <u/>
      <sz val="12"/>
      <color theme="1"/>
      <name val="Arial Black"/>
      <family val="2"/>
    </font>
    <font>
      <i/>
      <sz val="12"/>
      <color theme="1"/>
      <name val="Arial"/>
      <family val="2"/>
    </font>
    <font>
      <sz val="12"/>
      <name val="Calibri"/>
      <family val="2"/>
      <scheme val="minor"/>
    </font>
    <font>
      <b/>
      <i/>
      <sz val="12"/>
      <name val="Arial"/>
      <family val="2"/>
    </font>
    <font>
      <b/>
      <sz val="14"/>
      <color theme="1"/>
      <name val="Arial"/>
      <family val="2"/>
    </font>
    <font>
      <sz val="11"/>
      <color theme="1"/>
      <name val="Arial"/>
      <family val="2"/>
    </font>
    <font>
      <i/>
      <sz val="12"/>
      <name val="Arial"/>
      <family val="2"/>
    </font>
    <font>
      <i/>
      <sz val="12"/>
      <color theme="1"/>
      <name val="Calibri"/>
      <family val="2"/>
      <scheme val="minor"/>
    </font>
    <font>
      <i/>
      <sz val="12"/>
      <name val="Calibri"/>
      <family val="2"/>
      <scheme val="minor"/>
    </font>
    <font>
      <b/>
      <i/>
      <sz val="11"/>
      <color theme="1"/>
      <name val="Arial"/>
      <family val="2"/>
    </font>
    <font>
      <b/>
      <sz val="11"/>
      <name val="Arial"/>
      <family val="2"/>
    </font>
    <font>
      <u/>
      <sz val="11"/>
      <color theme="10"/>
      <name val="Calibri"/>
      <family val="2"/>
      <scheme val="minor"/>
    </font>
    <font>
      <sz val="11"/>
      <name val="Century Gothic"/>
      <family val="2"/>
    </font>
    <font>
      <b/>
      <i/>
      <sz val="10"/>
      <color theme="1"/>
      <name val="Arial"/>
      <family val="2"/>
    </font>
    <font>
      <b/>
      <sz val="10"/>
      <name val="Arial"/>
      <family val="2"/>
    </font>
    <font>
      <b/>
      <sz val="10"/>
      <color theme="1"/>
      <name val="Arial"/>
      <family val="2"/>
    </font>
    <font>
      <b/>
      <i/>
      <sz val="10"/>
      <name val="Arial"/>
      <family val="2"/>
    </font>
    <font>
      <b/>
      <sz val="11"/>
      <color theme="1"/>
      <name val="Arial"/>
      <family val="2"/>
    </font>
    <font>
      <b/>
      <i/>
      <sz val="11"/>
      <color rgb="FF050505"/>
      <name val="Segoe UI Historic"/>
      <family val="2"/>
    </font>
    <font>
      <sz val="11"/>
      <name val="Arial"/>
      <family val="2"/>
    </font>
    <font>
      <sz val="11"/>
      <name val="Calibri"/>
      <family val="2"/>
      <scheme val="minor"/>
    </font>
    <font>
      <u/>
      <sz val="12"/>
      <color indexed="8"/>
      <name val="Arial"/>
      <family val="2"/>
    </font>
    <font>
      <sz val="9"/>
      <color indexed="81"/>
      <name val="Tahoma"/>
      <family val="2"/>
    </font>
    <font>
      <b/>
      <sz val="9"/>
      <color indexed="81"/>
      <name val="Tahoma"/>
      <family val="2"/>
    </font>
    <font>
      <sz val="11"/>
      <color theme="1"/>
      <name val="Century Gothic"/>
      <family val="2"/>
    </font>
    <font>
      <b/>
      <i/>
      <sz val="12"/>
      <color rgb="FFFF0000"/>
      <name val="Arial"/>
      <family val="2"/>
    </font>
    <font>
      <sz val="11"/>
      <color rgb="FFFF0000"/>
      <name val="Calibri"/>
      <family val="2"/>
      <scheme val="minor"/>
    </font>
    <font>
      <b/>
      <sz val="26"/>
      <color rgb="FF00B050"/>
      <name val="Arial"/>
      <family val="2"/>
    </font>
    <font>
      <b/>
      <sz val="11"/>
      <color theme="1"/>
      <name val="Calibri"/>
      <family val="2"/>
      <scheme val="minor"/>
    </font>
    <font>
      <sz val="8"/>
      <name val="Calibri"/>
      <family val="2"/>
      <scheme val="minor"/>
    </font>
    <font>
      <sz val="11"/>
      <color rgb="FF000000"/>
      <name val="Arial"/>
      <family val="2"/>
    </font>
    <font>
      <sz val="11"/>
      <color indexed="8"/>
      <name val="Arial"/>
      <family val="2"/>
    </font>
    <font>
      <b/>
      <sz val="11"/>
      <color indexed="8"/>
      <name val="Arial"/>
      <family val="2"/>
    </font>
    <font>
      <sz val="11"/>
      <name val="Calibri"/>
      <family val="2"/>
    </font>
    <font>
      <sz val="11"/>
      <color rgb="FF000000"/>
      <name val="Calibri"/>
      <family val="2"/>
    </font>
    <font>
      <i/>
      <sz val="11"/>
      <color rgb="FF000000"/>
      <name val="Arial"/>
      <family val="2"/>
    </font>
    <font>
      <b/>
      <i/>
      <sz val="11"/>
      <color rgb="FF000000"/>
      <name val="Arial"/>
      <family val="2"/>
    </font>
    <font>
      <b/>
      <sz val="11"/>
      <color rgb="FF000000"/>
      <name val="Arial"/>
      <family val="2"/>
    </font>
    <font>
      <b/>
      <i/>
      <sz val="14"/>
      <color theme="1"/>
      <name val="Arial"/>
      <family val="2"/>
    </font>
    <font>
      <sz val="12"/>
      <color rgb="FF000000"/>
      <name val="Arial"/>
      <family val="2"/>
    </font>
    <font>
      <b/>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s>
  <borders count="58">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s>
  <cellStyleXfs count="3">
    <xf numFmtId="0" fontId="0" fillId="0" borderId="0"/>
    <xf numFmtId="43" fontId="1" fillId="0" borderId="0" applyFont="0" applyFill="0" applyBorder="0" applyAlignment="0" applyProtection="0"/>
    <xf numFmtId="0" fontId="25" fillId="0" borderId="0" applyNumberFormat="0" applyFill="0" applyBorder="0" applyAlignment="0" applyProtection="0"/>
  </cellStyleXfs>
  <cellXfs count="742">
    <xf numFmtId="0" fontId="0" fillId="0" borderId="0" xfId="0"/>
    <xf numFmtId="0" fontId="2" fillId="0" borderId="0" xfId="0" applyFont="1"/>
    <xf numFmtId="43" fontId="2" fillId="0" borderId="0" xfId="1" applyFont="1"/>
    <xf numFmtId="0" fontId="2" fillId="0" borderId="0" xfId="0" applyFont="1" applyAlignment="1">
      <alignment horizontal="left"/>
    </xf>
    <xf numFmtId="0" fontId="2" fillId="0" borderId="0" xfId="0" applyFont="1" applyAlignment="1">
      <alignment horizontal="left" wrapText="1"/>
    </xf>
    <xf numFmtId="0" fontId="2" fillId="0" borderId="0" xfId="0" applyFont="1" applyAlignment="1">
      <alignment wrapText="1"/>
    </xf>
    <xf numFmtId="43" fontId="2" fillId="0" borderId="0" xfId="1" applyFont="1" applyAlignment="1"/>
    <xf numFmtId="43" fontId="2" fillId="0" borderId="0" xfId="1" applyFont="1" applyAlignment="1">
      <alignment horizontal="center" vertical="center" wrapText="1"/>
    </xf>
    <xf numFmtId="0" fontId="2" fillId="0" borderId="0" xfId="0" applyFont="1" applyAlignment="1">
      <alignment horizontal="center" vertical="center" wrapText="1"/>
    </xf>
    <xf numFmtId="0" fontId="3" fillId="0" borderId="0" xfId="0" quotePrefix="1" applyFont="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5" fillId="0" borderId="0" xfId="0" applyFont="1" applyAlignment="1">
      <alignment horizontal="left"/>
    </xf>
    <xf numFmtId="43" fontId="5" fillId="0" borderId="5" xfId="1" applyFont="1" applyBorder="1" applyAlignment="1">
      <alignment horizontal="center" vertical="center" wrapText="1"/>
    </xf>
    <xf numFmtId="0" fontId="5" fillId="0" borderId="10" xfId="0" applyFont="1" applyBorder="1" applyAlignment="1">
      <alignment horizontal="center" vertical="center" wrapText="1"/>
    </xf>
    <xf numFmtId="43" fontId="5" fillId="0" borderId="10" xfId="1" applyFont="1" applyBorder="1" applyAlignment="1">
      <alignment horizontal="center" wrapText="1"/>
    </xf>
    <xf numFmtId="43" fontId="5" fillId="0" borderId="14" xfId="1" applyFont="1" applyBorder="1" applyAlignment="1">
      <alignment horizontal="center" wrapText="1"/>
    </xf>
    <xf numFmtId="43" fontId="5" fillId="0" borderId="7" xfId="1" applyFont="1" applyBorder="1"/>
    <xf numFmtId="0" fontId="5" fillId="0" borderId="8" xfId="0" applyFont="1" applyBorder="1"/>
    <xf numFmtId="0" fontId="12" fillId="0" borderId="8" xfId="0" applyFont="1" applyBorder="1" applyAlignment="1">
      <alignment horizontal="left"/>
    </xf>
    <xf numFmtId="0" fontId="5" fillId="0" borderId="9" xfId="0" applyFont="1" applyBorder="1"/>
    <xf numFmtId="43" fontId="5" fillId="0" borderId="15" xfId="1" applyFont="1" applyBorder="1"/>
    <xf numFmtId="0" fontId="5" fillId="0" borderId="0" xfId="0" applyFont="1"/>
    <xf numFmtId="0" fontId="5" fillId="0" borderId="10" xfId="0" applyFont="1" applyBorder="1"/>
    <xf numFmtId="43" fontId="5" fillId="0" borderId="11" xfId="1" applyFont="1" applyBorder="1"/>
    <xf numFmtId="0" fontId="2" fillId="0" borderId="12" xfId="0" applyFont="1" applyBorder="1"/>
    <xf numFmtId="43" fontId="13" fillId="0" borderId="12" xfId="1" applyFont="1" applyBorder="1"/>
    <xf numFmtId="0" fontId="5" fillId="0" borderId="12" xfId="0" applyFont="1" applyBorder="1"/>
    <xf numFmtId="0" fontId="2" fillId="0" borderId="12" xfId="0" applyFont="1" applyBorder="1" applyAlignment="1">
      <alignment horizontal="left"/>
    </xf>
    <xf numFmtId="0" fontId="2" fillId="0" borderId="13" xfId="0" applyFont="1" applyBorder="1"/>
    <xf numFmtId="0" fontId="12" fillId="0" borderId="0" xfId="0" applyFont="1"/>
    <xf numFmtId="0" fontId="5" fillId="0" borderId="6" xfId="0" applyFont="1" applyBorder="1" applyAlignment="1">
      <alignment horizontal="center" vertical="center"/>
    </xf>
    <xf numFmtId="0" fontId="8" fillId="0" borderId="5" xfId="0" applyFont="1" applyBorder="1" applyAlignment="1">
      <alignment horizontal="left" wrapText="1"/>
    </xf>
    <xf numFmtId="0" fontId="5" fillId="0" borderId="5" xfId="0" applyFont="1" applyBorder="1" applyAlignment="1">
      <alignment horizontal="left"/>
    </xf>
    <xf numFmtId="0" fontId="10" fillId="0" borderId="5" xfId="0" applyFont="1" applyBorder="1" applyAlignment="1">
      <alignment horizontal="center" vertical="center"/>
    </xf>
    <xf numFmtId="0" fontId="8" fillId="0" borderId="5" xfId="0" applyFont="1" applyBorder="1" applyAlignment="1">
      <alignment horizontal="left"/>
    </xf>
    <xf numFmtId="0" fontId="2" fillId="0" borderId="12" xfId="0" applyFont="1" applyBorder="1" applyAlignment="1">
      <alignment wrapText="1"/>
    </xf>
    <xf numFmtId="43" fontId="2" fillId="0" borderId="12" xfId="1" applyFont="1" applyBorder="1" applyAlignment="1">
      <alignment wrapText="1"/>
    </xf>
    <xf numFmtId="0" fontId="5" fillId="0" borderId="11" xfId="0" applyFont="1" applyBorder="1"/>
    <xf numFmtId="43" fontId="2" fillId="0" borderId="0" xfId="1" applyFont="1" applyAlignment="1">
      <alignment wrapText="1"/>
    </xf>
    <xf numFmtId="0" fontId="5" fillId="0" borderId="15" xfId="0" applyFont="1" applyBorder="1"/>
    <xf numFmtId="43" fontId="2" fillId="0" borderId="8" xfId="1" applyFont="1" applyBorder="1" applyAlignment="1">
      <alignment wrapText="1"/>
    </xf>
    <xf numFmtId="0" fontId="5" fillId="0" borderId="7" xfId="0" applyFont="1" applyBorder="1"/>
    <xf numFmtId="0" fontId="5" fillId="0" borderId="6" xfId="0" applyFont="1" applyBorder="1" applyAlignment="1">
      <alignment vertical="center"/>
    </xf>
    <xf numFmtId="0" fontId="5" fillId="0" borderId="6" xfId="0" applyFont="1" applyBorder="1" applyAlignment="1">
      <alignment horizontal="left" vertical="center"/>
    </xf>
    <xf numFmtId="43" fontId="5" fillId="0" borderId="11" xfId="1" applyFont="1" applyBorder="1" applyAlignment="1">
      <alignment horizontal="center" wrapText="1"/>
    </xf>
    <xf numFmtId="0" fontId="12" fillId="0" borderId="13" xfId="0" applyFont="1" applyBorder="1" applyAlignment="1">
      <alignment horizontal="left"/>
    </xf>
    <xf numFmtId="0" fontId="12" fillId="0" borderId="12" xfId="0" applyFont="1" applyBorder="1" applyAlignment="1">
      <alignment horizontal="center" wrapText="1"/>
    </xf>
    <xf numFmtId="43" fontId="2" fillId="0" borderId="11" xfId="1" applyFont="1" applyBorder="1" applyAlignment="1">
      <alignment wrapText="1"/>
    </xf>
    <xf numFmtId="0" fontId="2" fillId="0" borderId="11" xfId="0" applyFont="1" applyBorder="1"/>
    <xf numFmtId="43" fontId="2" fillId="0" borderId="15" xfId="1" applyFont="1" applyBorder="1" applyAlignment="1">
      <alignment wrapText="1"/>
    </xf>
    <xf numFmtId="0" fontId="2" fillId="0" borderId="15" xfId="0" applyFont="1" applyBorder="1"/>
    <xf numFmtId="0" fontId="5" fillId="0" borderId="10" xfId="0" applyFont="1" applyBorder="1" applyAlignment="1">
      <alignment horizontal="left"/>
    </xf>
    <xf numFmtId="0" fontId="5" fillId="0" borderId="5" xfId="0" applyFont="1" applyBorder="1" applyAlignment="1">
      <alignment wrapText="1"/>
    </xf>
    <xf numFmtId="0" fontId="8" fillId="0" borderId="10" xfId="0" applyFont="1" applyBorder="1" applyAlignment="1">
      <alignment horizontal="left"/>
    </xf>
    <xf numFmtId="0" fontId="8" fillId="0" borderId="5" xfId="0" applyFont="1" applyBorder="1" applyAlignment="1">
      <alignment wrapText="1"/>
    </xf>
    <xf numFmtId="0" fontId="15" fillId="0" borderId="10" xfId="0" applyFont="1" applyBorder="1" applyAlignment="1">
      <alignment horizontal="left"/>
    </xf>
    <xf numFmtId="0" fontId="16" fillId="0" borderId="0" xfId="0" applyFont="1" applyAlignment="1">
      <alignment vertical="center"/>
    </xf>
    <xf numFmtId="0" fontId="10" fillId="0" borderId="14" xfId="0" applyFont="1" applyBorder="1" applyAlignment="1">
      <alignment horizontal="center" vertical="center"/>
    </xf>
    <xf numFmtId="0" fontId="10" fillId="0" borderId="5" xfId="0" applyFont="1" applyBorder="1" applyAlignment="1">
      <alignment horizontal="center" vertical="center" wrapText="1"/>
    </xf>
    <xf numFmtId="0" fontId="16" fillId="0" borderId="5" xfId="0" applyFont="1" applyBorder="1" applyAlignment="1">
      <alignment vertical="center"/>
    </xf>
    <xf numFmtId="43" fontId="16" fillId="0" borderId="15" xfId="1" applyFont="1" applyBorder="1" applyAlignment="1">
      <alignment vertical="center" wrapText="1"/>
    </xf>
    <xf numFmtId="0" fontId="10" fillId="0" borderId="10" xfId="0" applyFont="1" applyBorder="1" applyAlignment="1">
      <alignment horizontal="center" vertical="center"/>
    </xf>
    <xf numFmtId="0" fontId="11" fillId="0" borderId="5" xfId="0" applyFont="1" applyBorder="1" applyAlignment="1">
      <alignment wrapText="1"/>
    </xf>
    <xf numFmtId="0" fontId="2" fillId="0" borderId="9" xfId="0" applyFont="1" applyBorder="1" applyAlignment="1">
      <alignment horizontal="left"/>
    </xf>
    <xf numFmtId="0" fontId="2" fillId="0" borderId="8" xfId="0" applyFont="1" applyBorder="1" applyAlignment="1">
      <alignment wrapText="1"/>
    </xf>
    <xf numFmtId="0" fontId="2" fillId="0" borderId="4" xfId="0" applyFont="1" applyBorder="1" applyAlignment="1">
      <alignment wrapText="1"/>
    </xf>
    <xf numFmtId="43" fontId="12" fillId="0" borderId="7" xfId="1" applyFont="1" applyBorder="1"/>
    <xf numFmtId="0" fontId="9" fillId="0" borderId="14" xfId="0" applyFont="1" applyBorder="1" applyAlignment="1">
      <alignment horizontal="center" vertical="center"/>
    </xf>
    <xf numFmtId="0" fontId="12" fillId="0" borderId="8" xfId="0" applyFont="1" applyBorder="1" applyAlignment="1">
      <alignment wrapText="1"/>
    </xf>
    <xf numFmtId="0" fontId="12" fillId="0" borderId="8" xfId="0" applyFont="1" applyBorder="1"/>
    <xf numFmtId="0" fontId="5" fillId="0" borderId="13" xfId="0" applyFont="1" applyBorder="1"/>
    <xf numFmtId="0" fontId="5" fillId="0" borderId="12" xfId="0" applyFont="1" applyBorder="1" applyAlignment="1">
      <alignment horizontal="left" wrapText="1"/>
    </xf>
    <xf numFmtId="0" fontId="5" fillId="0" borderId="12" xfId="0" applyFont="1" applyBorder="1" applyAlignment="1">
      <alignment horizontal="left"/>
    </xf>
    <xf numFmtId="43" fontId="5" fillId="0" borderId="0" xfId="1" applyFont="1" applyBorder="1"/>
    <xf numFmtId="43" fontId="5" fillId="0" borderId="8" xfId="1" applyFont="1" applyBorder="1"/>
    <xf numFmtId="0" fontId="5" fillId="0" borderId="5" xfId="0" applyFont="1" applyBorder="1"/>
    <xf numFmtId="43" fontId="5" fillId="0" borderId="10" xfId="1" applyFont="1" applyBorder="1"/>
    <xf numFmtId="43" fontId="5" fillId="0" borderId="5" xfId="1" applyFont="1" applyBorder="1"/>
    <xf numFmtId="43" fontId="5" fillId="0" borderId="10" xfId="1" applyFont="1" applyBorder="1" applyAlignment="1">
      <alignment horizontal="center" vertical="center"/>
    </xf>
    <xf numFmtId="43" fontId="5" fillId="0" borderId="5" xfId="1" applyFont="1" applyBorder="1" applyAlignment="1">
      <alignment horizontal="center" vertical="center"/>
    </xf>
    <xf numFmtId="0" fontId="5" fillId="0" borderId="4" xfId="0" applyFont="1" applyBorder="1"/>
    <xf numFmtId="0" fontId="5" fillId="0" borderId="4" xfId="0" applyFont="1" applyBorder="1" applyAlignment="1">
      <alignment horizontal="left"/>
    </xf>
    <xf numFmtId="43" fontId="12" fillId="0" borderId="9" xfId="1" applyFont="1" applyBorder="1"/>
    <xf numFmtId="0" fontId="12" fillId="0" borderId="9" xfId="0" applyFont="1" applyBorder="1"/>
    <xf numFmtId="43" fontId="12" fillId="0" borderId="4" xfId="1" applyFont="1" applyBorder="1"/>
    <xf numFmtId="0" fontId="12" fillId="0" borderId="9" xfId="0" applyFont="1" applyBorder="1" applyAlignment="1">
      <alignment vertical="center"/>
    </xf>
    <xf numFmtId="0" fontId="9" fillId="0" borderId="0" xfId="0" applyFont="1" applyAlignment="1">
      <alignment vertical="center"/>
    </xf>
    <xf numFmtId="0" fontId="5" fillId="0" borderId="10" xfId="0" applyFont="1" applyBorder="1" applyAlignment="1">
      <alignment vertical="center"/>
    </xf>
    <xf numFmtId="0" fontId="12" fillId="0" borderId="10" xfId="0" applyFont="1" applyBorder="1" applyAlignment="1">
      <alignment horizontal="left" vertical="center"/>
    </xf>
    <xf numFmtId="0" fontId="5" fillId="0" borderId="0" xfId="0" applyFont="1" applyAlignment="1">
      <alignment horizontal="center" vertical="center"/>
    </xf>
    <xf numFmtId="0" fontId="5" fillId="0" borderId="15" xfId="0" applyFont="1" applyBorder="1" applyAlignment="1">
      <alignment horizontal="center" vertical="center"/>
    </xf>
    <xf numFmtId="0" fontId="8" fillId="0" borderId="15" xfId="0" applyFont="1" applyBorder="1" applyAlignment="1">
      <alignment horizontal="left"/>
    </xf>
    <xf numFmtId="0" fontId="9" fillId="0" borderId="10" xfId="0" quotePrefix="1" applyFont="1" applyBorder="1" applyAlignment="1">
      <alignment horizontal="left" vertical="center"/>
    </xf>
    <xf numFmtId="0" fontId="10" fillId="0" borderId="10" xfId="0" quotePrefix="1" applyFont="1" applyBorder="1" applyAlignment="1">
      <alignment horizontal="left" vertical="center"/>
    </xf>
    <xf numFmtId="0" fontId="5" fillId="0" borderId="7" xfId="0" applyFont="1" applyBorder="1" applyAlignment="1">
      <alignment horizontal="left"/>
    </xf>
    <xf numFmtId="43" fontId="5" fillId="0" borderId="10" xfId="1" applyFont="1" applyBorder="1" applyAlignment="1">
      <alignment vertical="center"/>
    </xf>
    <xf numFmtId="0" fontId="8" fillId="0" borderId="10" xfId="0" applyFont="1" applyBorder="1"/>
    <xf numFmtId="0" fontId="2" fillId="0" borderId="10" xfId="0" applyFont="1" applyBorder="1"/>
    <xf numFmtId="0" fontId="2" fillId="0" borderId="9" xfId="0" applyFont="1" applyBorder="1"/>
    <xf numFmtId="0" fontId="5" fillId="0" borderId="0" xfId="0" applyFont="1" applyAlignment="1">
      <alignment wrapText="1"/>
    </xf>
    <xf numFmtId="0" fontId="5" fillId="0" borderId="15" xfId="0" applyFont="1" applyBorder="1" applyAlignment="1">
      <alignment wrapText="1"/>
    </xf>
    <xf numFmtId="0" fontId="8" fillId="0" borderId="0" xfId="0" applyFont="1" applyAlignment="1">
      <alignment wrapText="1"/>
    </xf>
    <xf numFmtId="0" fontId="8" fillId="0" borderId="15" xfId="0" applyFont="1" applyBorder="1" applyAlignment="1">
      <alignment wrapText="1"/>
    </xf>
    <xf numFmtId="0" fontId="20" fillId="0" borderId="10" xfId="0" applyFont="1" applyBorder="1" applyAlignment="1">
      <alignment horizontal="left" vertical="center"/>
    </xf>
    <xf numFmtId="0" fontId="10" fillId="0" borderId="0" xfId="0" applyFont="1" applyAlignment="1">
      <alignment horizontal="center" vertical="center" wrapText="1"/>
    </xf>
    <xf numFmtId="0" fontId="17" fillId="0" borderId="0" xfId="0" applyFont="1" applyAlignment="1">
      <alignment horizontal="center" vertical="center" wrapText="1"/>
    </xf>
    <xf numFmtId="0" fontId="11" fillId="0" borderId="0" xfId="0" applyFont="1" applyAlignment="1">
      <alignment wrapText="1"/>
    </xf>
    <xf numFmtId="0" fontId="11" fillId="0" borderId="15" xfId="0" applyFont="1" applyBorder="1" applyAlignment="1">
      <alignment wrapText="1"/>
    </xf>
    <xf numFmtId="0" fontId="2" fillId="0" borderId="7" xfId="0" applyFont="1" applyBorder="1" applyAlignment="1">
      <alignment wrapText="1"/>
    </xf>
    <xf numFmtId="0" fontId="17" fillId="0" borderId="15" xfId="0" applyFont="1" applyBorder="1" applyAlignment="1">
      <alignment horizontal="center" vertical="center" wrapText="1"/>
    </xf>
    <xf numFmtId="43" fontId="5" fillId="0" borderId="15" xfId="1" applyFont="1" applyBorder="1" applyAlignment="1">
      <alignment wrapText="1"/>
    </xf>
    <xf numFmtId="43" fontId="12" fillId="0" borderId="7" xfId="1" applyFont="1" applyBorder="1" applyAlignment="1">
      <alignment wrapText="1"/>
    </xf>
    <xf numFmtId="0" fontId="5" fillId="0" borderId="15" xfId="0" applyFont="1" applyBorder="1" applyAlignment="1">
      <alignment horizontal="center" wrapText="1"/>
    </xf>
    <xf numFmtId="0" fontId="8" fillId="0" borderId="15" xfId="0" applyFont="1" applyBorder="1" applyAlignment="1">
      <alignment horizontal="left" wrapText="1"/>
    </xf>
    <xf numFmtId="0" fontId="5" fillId="0" borderId="2" xfId="0" applyFont="1" applyBorder="1" applyAlignment="1">
      <alignment horizontal="left" indent="1"/>
    </xf>
    <xf numFmtId="0" fontId="5" fillId="0" borderId="1" xfId="0" applyFont="1" applyBorder="1" applyAlignment="1">
      <alignment horizontal="left" indent="1"/>
    </xf>
    <xf numFmtId="43" fontId="5" fillId="0" borderId="15" xfId="0" applyNumberFormat="1" applyFont="1" applyBorder="1"/>
    <xf numFmtId="0" fontId="21" fillId="0" borderId="10" xfId="0" applyFont="1" applyBorder="1"/>
    <xf numFmtId="0" fontId="15" fillId="0" borderId="0" xfId="0" applyFont="1" applyAlignment="1">
      <alignment wrapText="1"/>
    </xf>
    <xf numFmtId="0" fontId="21" fillId="0" borderId="5" xfId="0" applyFont="1" applyBorder="1"/>
    <xf numFmtId="43" fontId="21" fillId="0" borderId="15" xfId="1" applyFont="1" applyBorder="1" applyAlignment="1">
      <alignment wrapText="1"/>
    </xf>
    <xf numFmtId="0" fontId="21" fillId="0" borderId="0" xfId="0" applyFont="1"/>
    <xf numFmtId="0" fontId="21" fillId="0" borderId="15" xfId="0" applyFont="1" applyBorder="1"/>
    <xf numFmtId="0" fontId="22" fillId="0" borderId="5" xfId="0" applyFont="1" applyBorder="1" applyAlignment="1">
      <alignment vertical="center"/>
    </xf>
    <xf numFmtId="43" fontId="22" fillId="0" borderId="15" xfId="1" applyFont="1" applyBorder="1" applyAlignment="1">
      <alignment vertical="center" wrapText="1"/>
    </xf>
    <xf numFmtId="0" fontId="22" fillId="0" borderId="0" xfId="0" applyFont="1" applyAlignment="1">
      <alignment vertical="center"/>
    </xf>
    <xf numFmtId="0" fontId="10" fillId="0" borderId="15" xfId="0" applyFont="1" applyBorder="1" applyAlignment="1">
      <alignment horizontal="center" vertical="center" wrapText="1"/>
    </xf>
    <xf numFmtId="0" fontId="12" fillId="0" borderId="11" xfId="0" applyFont="1" applyBorder="1" applyAlignment="1">
      <alignment horizontal="center" wrapText="1"/>
    </xf>
    <xf numFmtId="0" fontId="15" fillId="0" borderId="15" xfId="0" applyFont="1" applyBorder="1" applyAlignment="1">
      <alignment wrapText="1"/>
    </xf>
    <xf numFmtId="0" fontId="17" fillId="0" borderId="10" xfId="0" applyFont="1" applyBorder="1" applyAlignment="1">
      <alignment horizontal="center"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5" xfId="0" applyFont="1" applyBorder="1" applyAlignment="1">
      <alignment horizontal="center" vertical="center" wrapText="1"/>
    </xf>
    <xf numFmtId="0" fontId="12" fillId="0" borderId="10" xfId="0" applyFont="1" applyBorder="1" applyAlignment="1">
      <alignment vertical="center"/>
    </xf>
    <xf numFmtId="0" fontId="5" fillId="0" borderId="3" xfId="0" applyFont="1" applyBorder="1"/>
    <xf numFmtId="0" fontId="5" fillId="0" borderId="2" xfId="0" applyFont="1" applyBorder="1"/>
    <xf numFmtId="0" fontId="5" fillId="0" borderId="3" xfId="0" applyFont="1" applyBorder="1" applyAlignment="1">
      <alignment horizontal="left"/>
    </xf>
    <xf numFmtId="0" fontId="5" fillId="0" borderId="2" xfId="0" applyFont="1" applyBorder="1" applyAlignment="1">
      <alignment horizontal="left"/>
    </xf>
    <xf numFmtId="0" fontId="5" fillId="0" borderId="1" xfId="0" applyFont="1" applyBorder="1"/>
    <xf numFmtId="0" fontId="5" fillId="0" borderId="13" xfId="0" applyFont="1" applyBorder="1" applyAlignment="1">
      <alignment vertical="center"/>
    </xf>
    <xf numFmtId="0" fontId="5" fillId="0" borderId="11" xfId="0" applyFont="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3" xfId="0" applyFont="1" applyBorder="1" applyAlignment="1">
      <alignment horizontal="left"/>
    </xf>
    <xf numFmtId="0" fontId="9" fillId="0" borderId="12" xfId="0" applyFont="1" applyBorder="1" applyAlignment="1">
      <alignment horizontal="left" vertical="center" wrapText="1"/>
    </xf>
    <xf numFmtId="0" fontId="20" fillId="0" borderId="9" xfId="0" applyFont="1" applyBorder="1" applyAlignment="1">
      <alignment horizontal="left" vertical="center"/>
    </xf>
    <xf numFmtId="164" fontId="9" fillId="2" borderId="14" xfId="0" quotePrefix="1" applyNumberFormat="1" applyFont="1" applyFill="1" applyBorder="1" applyAlignment="1">
      <alignment horizontal="center" vertical="center" wrapText="1"/>
    </xf>
    <xf numFmtId="0" fontId="5" fillId="0" borderId="3" xfId="0" applyFont="1" applyBorder="1" applyAlignment="1">
      <alignment vertical="center" wrapText="1"/>
    </xf>
    <xf numFmtId="0" fontId="24" fillId="0" borderId="14" xfId="0" applyFont="1" applyBorder="1" applyAlignment="1">
      <alignment horizontal="center" vertical="center"/>
    </xf>
    <xf numFmtId="0" fontId="24" fillId="0" borderId="0" xfId="0" applyFont="1" applyAlignment="1">
      <alignment horizontal="center" vertical="center" wrapText="1"/>
    </xf>
    <xf numFmtId="0" fontId="24" fillId="0" borderId="15" xfId="0" applyFont="1" applyBorder="1" applyAlignment="1">
      <alignment horizontal="center" vertical="center" wrapText="1"/>
    </xf>
    <xf numFmtId="43" fontId="12" fillId="0" borderId="5" xfId="1" applyFont="1" applyBorder="1"/>
    <xf numFmtId="43" fontId="5" fillId="0" borderId="9" xfId="1" applyFont="1" applyBorder="1"/>
    <xf numFmtId="43" fontId="5" fillId="0" borderId="4" xfId="1" applyFont="1" applyBorder="1"/>
    <xf numFmtId="43" fontId="4" fillId="0" borderId="15" xfId="0" applyNumberFormat="1" applyFont="1" applyBorder="1"/>
    <xf numFmtId="0" fontId="2" fillId="0" borderId="5" xfId="0" applyFont="1" applyBorder="1" applyAlignment="1">
      <alignment horizontal="center"/>
    </xf>
    <xf numFmtId="0" fontId="12" fillId="0" borderId="3" xfId="0" quotePrefix="1" applyFont="1" applyBorder="1"/>
    <xf numFmtId="0" fontId="27" fillId="0" borderId="10" xfId="0" applyFont="1" applyBorder="1" applyAlignment="1">
      <alignment horizontal="left"/>
    </xf>
    <xf numFmtId="0" fontId="28" fillId="0" borderId="0" xfId="0" applyFont="1" applyAlignment="1">
      <alignment horizontal="center" vertical="center" wrapText="1"/>
    </xf>
    <xf numFmtId="0" fontId="28" fillId="0" borderId="15" xfId="0" applyFont="1" applyBorder="1" applyAlignment="1">
      <alignment horizontal="center" vertical="center" wrapText="1"/>
    </xf>
    <xf numFmtId="0" fontId="27" fillId="0" borderId="10" xfId="0" quotePrefix="1" applyFont="1" applyBorder="1" applyAlignment="1">
      <alignment horizontal="left"/>
    </xf>
    <xf numFmtId="0" fontId="29" fillId="0" borderId="10" xfId="0" applyFont="1" applyBorder="1" applyAlignment="1">
      <alignment horizontal="left"/>
    </xf>
    <xf numFmtId="0" fontId="30" fillId="0" borderId="0" xfId="0" applyFont="1" applyAlignment="1">
      <alignment horizontal="center" vertical="center" wrapText="1"/>
    </xf>
    <xf numFmtId="0" fontId="31" fillId="0" borderId="10" xfId="0" applyFont="1" applyBorder="1" applyAlignment="1">
      <alignment horizontal="left"/>
    </xf>
    <xf numFmtId="0" fontId="32" fillId="0" borderId="10" xfId="0" applyFont="1" applyBorder="1"/>
    <xf numFmtId="43" fontId="2" fillId="0" borderId="0" xfId="1" applyFont="1" applyBorder="1" applyAlignment="1">
      <alignment wrapText="1"/>
    </xf>
    <xf numFmtId="0" fontId="2" fillId="0" borderId="16" xfId="0" applyFont="1" applyBorder="1"/>
    <xf numFmtId="43" fontId="2" fillId="0" borderId="19" xfId="1" applyFont="1" applyBorder="1" applyAlignment="1">
      <alignment wrapText="1"/>
    </xf>
    <xf numFmtId="0" fontId="2" fillId="0" borderId="8" xfId="0" applyFont="1" applyBorder="1" applyAlignment="1">
      <alignment horizontal="left"/>
    </xf>
    <xf numFmtId="43" fontId="2" fillId="0" borderId="5" xfId="1" applyFont="1" applyBorder="1" applyAlignment="1">
      <alignment wrapText="1"/>
    </xf>
    <xf numFmtId="43" fontId="5" fillId="0" borderId="5" xfId="1" applyFont="1" applyBorder="1" applyAlignment="1">
      <alignment wrapText="1"/>
    </xf>
    <xf numFmtId="0" fontId="2" fillId="0" borderId="25" xfId="0" applyFont="1" applyBorder="1"/>
    <xf numFmtId="0" fontId="5" fillId="0" borderId="26" xfId="0" applyFont="1" applyBorder="1"/>
    <xf numFmtId="0" fontId="5" fillId="0" borderId="27" xfId="0" applyFont="1" applyBorder="1"/>
    <xf numFmtId="0" fontId="5" fillId="0" borderId="28" xfId="0" applyFont="1" applyBorder="1"/>
    <xf numFmtId="0" fontId="5" fillId="0" borderId="29" xfId="0" applyFont="1" applyBorder="1"/>
    <xf numFmtId="0" fontId="5" fillId="0" borderId="30" xfId="0" applyFont="1" applyBorder="1"/>
    <xf numFmtId="0" fontId="5" fillId="0" borderId="25" xfId="0" applyFont="1" applyBorder="1" applyAlignment="1">
      <alignment vertical="center"/>
    </xf>
    <xf numFmtId="0" fontId="2" fillId="0" borderId="27" xfId="0" applyFont="1" applyBorder="1"/>
    <xf numFmtId="0" fontId="2" fillId="0" borderId="28" xfId="0" applyFont="1" applyBorder="1"/>
    <xf numFmtId="43" fontId="2" fillId="0" borderId="28" xfId="0" applyNumberFormat="1" applyFont="1" applyBorder="1"/>
    <xf numFmtId="0" fontId="2" fillId="0" borderId="32" xfId="0" applyFont="1" applyBorder="1"/>
    <xf numFmtId="0" fontId="27" fillId="0" borderId="17" xfId="0" applyFont="1" applyBorder="1" applyAlignment="1">
      <alignment horizontal="left"/>
    </xf>
    <xf numFmtId="0" fontId="30" fillId="0" borderId="18"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19" xfId="0" applyFont="1" applyBorder="1" applyAlignment="1">
      <alignment horizontal="center" vertical="center" wrapText="1"/>
    </xf>
    <xf numFmtId="0" fontId="10" fillId="0" borderId="19" xfId="0" applyFont="1" applyBorder="1" applyAlignment="1">
      <alignment horizontal="center" vertical="center" wrapText="1"/>
    </xf>
    <xf numFmtId="0" fontId="16" fillId="0" borderId="18" xfId="0" applyFont="1" applyBorder="1" applyAlignment="1">
      <alignment vertical="center"/>
    </xf>
    <xf numFmtId="43" fontId="2" fillId="0" borderId="33" xfId="0" applyNumberFormat="1" applyFont="1" applyBorder="1"/>
    <xf numFmtId="0" fontId="2" fillId="0" borderId="34" xfId="0" applyFont="1" applyBorder="1"/>
    <xf numFmtId="0" fontId="10" fillId="0" borderId="35" xfId="0" quotePrefix="1" applyFont="1" applyBorder="1" applyAlignment="1">
      <alignment horizontal="left" vertical="center"/>
    </xf>
    <xf numFmtId="0" fontId="10" fillId="0" borderId="36"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6" fillId="0" borderId="38" xfId="0" applyFont="1" applyBorder="1" applyAlignment="1">
      <alignment vertical="center"/>
    </xf>
    <xf numFmtId="43" fontId="16" fillId="0" borderId="38" xfId="1" applyFont="1" applyBorder="1" applyAlignment="1">
      <alignment vertical="center" wrapText="1"/>
    </xf>
    <xf numFmtId="0" fontId="16" fillId="0" borderId="35" xfId="0" applyFont="1" applyBorder="1" applyAlignment="1">
      <alignment vertical="center"/>
    </xf>
    <xf numFmtId="0" fontId="2" fillId="0" borderId="39" xfId="0" applyFont="1" applyBorder="1"/>
    <xf numFmtId="0" fontId="2" fillId="0" borderId="40" xfId="0" applyFont="1" applyBorder="1"/>
    <xf numFmtId="0" fontId="2" fillId="0" borderId="41" xfId="0" applyFont="1" applyBorder="1"/>
    <xf numFmtId="43" fontId="12" fillId="0" borderId="30" xfId="1" applyFont="1" applyBorder="1"/>
    <xf numFmtId="0" fontId="12" fillId="0" borderId="41" xfId="0" applyFont="1" applyBorder="1" applyAlignment="1">
      <alignment vertical="center"/>
    </xf>
    <xf numFmtId="0" fontId="12" fillId="0" borderId="27" xfId="0" applyFont="1" applyBorder="1" applyAlignment="1">
      <alignment vertical="center"/>
    </xf>
    <xf numFmtId="0" fontId="5" fillId="0" borderId="42" xfId="0" applyFont="1" applyBorder="1"/>
    <xf numFmtId="0" fontId="5" fillId="0" borderId="25" xfId="0" applyFont="1" applyBorder="1"/>
    <xf numFmtId="0" fontId="5" fillId="0" borderId="40" xfId="0" applyFont="1" applyBorder="1"/>
    <xf numFmtId="0" fontId="5" fillId="0" borderId="43" xfId="0" applyFont="1" applyBorder="1"/>
    <xf numFmtId="0" fontId="9" fillId="2" borderId="14" xfId="0" applyFont="1" applyFill="1" applyBorder="1" applyAlignment="1">
      <alignment vertical="center" wrapText="1"/>
    </xf>
    <xf numFmtId="0" fontId="20" fillId="0" borderId="0" xfId="0" applyFont="1" applyAlignment="1">
      <alignment horizontal="left" vertical="center"/>
    </xf>
    <xf numFmtId="0" fontId="20" fillId="0" borderId="15" xfId="0" applyFont="1" applyBorder="1" applyAlignment="1">
      <alignment horizontal="left" vertical="center"/>
    </xf>
    <xf numFmtId="0" fontId="5" fillId="0" borderId="3" xfId="0" applyFont="1" applyBorder="1" applyAlignment="1">
      <alignment horizontal="left" wrapText="1" indent="1"/>
    </xf>
    <xf numFmtId="0" fontId="5" fillId="0" borderId="2" xfId="0" applyFont="1" applyBorder="1" applyAlignment="1">
      <alignment horizontal="left" wrapText="1" indent="1"/>
    </xf>
    <xf numFmtId="0" fontId="5" fillId="0" borderId="1" xfId="0" applyFont="1" applyBorder="1" applyAlignment="1">
      <alignment horizontal="left" wrapText="1" indent="1"/>
    </xf>
    <xf numFmtId="0" fontId="9" fillId="0" borderId="0" xfId="0" applyFont="1" applyAlignment="1">
      <alignment horizontal="left" vertical="center" wrapText="1"/>
    </xf>
    <xf numFmtId="0" fontId="9" fillId="2" borderId="5"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0" borderId="0" xfId="0" applyFont="1" applyAlignment="1">
      <alignment horizontal="center" vertical="center" wrapText="1"/>
    </xf>
    <xf numFmtId="0" fontId="26" fillId="3" borderId="0" xfId="0" applyFont="1" applyFill="1" applyAlignment="1">
      <alignment horizontal="left" vertical="center" wrapText="1"/>
    </xf>
    <xf numFmtId="15" fontId="25" fillId="0" borderId="0" xfId="2" applyNumberFormat="1" applyBorder="1" applyAlignment="1">
      <alignment horizontal="center" vertical="center" wrapText="1"/>
    </xf>
    <xf numFmtId="0" fontId="10" fillId="0" borderId="6" xfId="0" applyFont="1" applyBorder="1" applyAlignment="1">
      <alignment horizontal="center" vertical="center"/>
    </xf>
    <xf numFmtId="0" fontId="10" fillId="0" borderId="11" xfId="0" applyFont="1" applyBorder="1" applyAlignment="1">
      <alignment horizontal="center" vertical="center" wrapText="1"/>
    </xf>
    <xf numFmtId="43" fontId="2" fillId="0" borderId="15" xfId="0" applyNumberFormat="1" applyFont="1" applyBorder="1"/>
    <xf numFmtId="0" fontId="2" fillId="0" borderId="14" xfId="0" applyFont="1" applyBorder="1"/>
    <xf numFmtId="43" fontId="2" fillId="0" borderId="1" xfId="1" applyFont="1" applyBorder="1" applyAlignment="1">
      <alignment wrapText="1"/>
    </xf>
    <xf numFmtId="0" fontId="16" fillId="0" borderId="2" xfId="0" applyFont="1" applyBorder="1" applyAlignment="1">
      <alignment vertical="center"/>
    </xf>
    <xf numFmtId="0" fontId="2" fillId="0" borderId="1" xfId="0" applyFont="1" applyBorder="1"/>
    <xf numFmtId="0" fontId="10" fillId="0" borderId="3" xfId="0" applyFont="1" applyBorder="1" applyAlignment="1">
      <alignment horizontal="center" vertical="center" wrapText="1"/>
    </xf>
    <xf numFmtId="0" fontId="2" fillId="0" borderId="2" xfId="0" applyFont="1" applyBorder="1"/>
    <xf numFmtId="43" fontId="2" fillId="0" borderId="2" xfId="1" applyFont="1" applyBorder="1" applyAlignment="1">
      <alignment wrapText="1"/>
    </xf>
    <xf numFmtId="43" fontId="4" fillId="0" borderId="1" xfId="0" applyNumberFormat="1" applyFont="1" applyBorder="1"/>
    <xf numFmtId="0" fontId="24" fillId="0" borderId="0" xfId="0" applyFont="1" applyAlignment="1">
      <alignment horizontal="left" vertical="center" wrapText="1"/>
    </xf>
    <xf numFmtId="43" fontId="2" fillId="0" borderId="6" xfId="1" applyFont="1" applyBorder="1" applyAlignment="1">
      <alignment wrapText="1"/>
    </xf>
    <xf numFmtId="43" fontId="16" fillId="0" borderId="5" xfId="1" applyFont="1" applyBorder="1" applyAlignment="1">
      <alignment vertical="center" wrapText="1"/>
    </xf>
    <xf numFmtId="43" fontId="12" fillId="0" borderId="4" xfId="1" applyFont="1" applyBorder="1" applyAlignment="1">
      <alignment wrapText="1"/>
    </xf>
    <xf numFmtId="0" fontId="33" fillId="0" borderId="10" xfId="0" applyFont="1" applyBorder="1" applyAlignment="1">
      <alignment horizontal="left" vertical="center"/>
    </xf>
    <xf numFmtId="0" fontId="33" fillId="0" borderId="0" xfId="0" applyFont="1" applyAlignment="1">
      <alignment horizontal="left" vertical="center"/>
    </xf>
    <xf numFmtId="43" fontId="2" fillId="0" borderId="14" xfId="1" applyFont="1" applyBorder="1" applyAlignment="1">
      <alignment wrapText="1"/>
    </xf>
    <xf numFmtId="15" fontId="24" fillId="0" borderId="0" xfId="0" applyNumberFormat="1" applyFont="1" applyAlignment="1">
      <alignment horizontal="center" vertical="center" wrapText="1"/>
    </xf>
    <xf numFmtId="0" fontId="10" fillId="0" borderId="0" xfId="0" applyFont="1" applyAlignment="1">
      <alignment horizontal="center" vertical="center"/>
    </xf>
    <xf numFmtId="0" fontId="33" fillId="0" borderId="14" xfId="0" applyFont="1" applyBorder="1" applyAlignment="1">
      <alignment horizontal="center" vertical="center"/>
    </xf>
    <xf numFmtId="0" fontId="0" fillId="0" borderId="5" xfId="0" applyBorder="1"/>
    <xf numFmtId="0" fontId="34" fillId="0" borderId="0" xfId="0" applyFont="1" applyAlignment="1">
      <alignment vertical="center"/>
    </xf>
    <xf numFmtId="43" fontId="19" fillId="0" borderId="15" xfId="1" applyFont="1" applyBorder="1" applyAlignment="1">
      <alignment wrapText="1"/>
    </xf>
    <xf numFmtId="43" fontId="19" fillId="0" borderId="15" xfId="0" applyNumberFormat="1" applyFont="1" applyBorder="1"/>
    <xf numFmtId="0" fontId="5" fillId="0" borderId="14" xfId="0" applyFont="1" applyBorder="1" applyAlignment="1">
      <alignment horizontal="center" vertical="center" wrapText="1"/>
    </xf>
    <xf numFmtId="0" fontId="8" fillId="0" borderId="10" xfId="0" applyFont="1" applyBorder="1" applyAlignment="1">
      <alignment horizontal="left" wrapText="1"/>
    </xf>
    <xf numFmtId="0" fontId="8" fillId="0" borderId="0" xfId="0" applyFont="1" applyAlignment="1">
      <alignment horizontal="left" wrapText="1"/>
    </xf>
    <xf numFmtId="0" fontId="5" fillId="0" borderId="15" xfId="0" applyFont="1" applyBorder="1" applyAlignment="1">
      <alignment horizontal="left"/>
    </xf>
    <xf numFmtId="0" fontId="5" fillId="0" borderId="8" xfId="0" applyFont="1" applyBorder="1" applyAlignment="1">
      <alignment horizontal="left" wrapText="1"/>
    </xf>
    <xf numFmtId="0" fontId="5" fillId="0" borderId="10" xfId="0" applyFont="1" applyBorder="1" applyAlignment="1">
      <alignment horizontal="left" wrapText="1"/>
    </xf>
    <xf numFmtId="0" fontId="5" fillId="0" borderId="0" xfId="0" applyFont="1" applyAlignment="1">
      <alignment horizontal="left" wrapText="1"/>
    </xf>
    <xf numFmtId="0" fontId="10" fillId="0" borderId="14" xfId="0" applyFont="1" applyBorder="1" applyAlignment="1">
      <alignment horizontal="center" vertical="center" wrapText="1"/>
    </xf>
    <xf numFmtId="0" fontId="9" fillId="0" borderId="5" xfId="0" applyFont="1" applyBorder="1" applyAlignment="1">
      <alignment horizontal="center" vertical="center" wrapText="1"/>
    </xf>
    <xf numFmtId="0" fontId="2" fillId="0" borderId="47" xfId="0" applyFont="1" applyBorder="1"/>
    <xf numFmtId="0" fontId="2" fillId="0" borderId="36" xfId="0" applyFont="1" applyBorder="1" applyAlignment="1">
      <alignment horizontal="left" wrapText="1"/>
    </xf>
    <xf numFmtId="0" fontId="2" fillId="0" borderId="36" xfId="0" applyFont="1" applyBorder="1" applyAlignment="1">
      <alignment horizontal="left"/>
    </xf>
    <xf numFmtId="0" fontId="2" fillId="0" borderId="36" xfId="0" applyFont="1" applyBorder="1"/>
    <xf numFmtId="43" fontId="2" fillId="0" borderId="36" xfId="1" applyFont="1" applyBorder="1"/>
    <xf numFmtId="43" fontId="2" fillId="0" borderId="39" xfId="1" applyFont="1" applyBorder="1"/>
    <xf numFmtId="43" fontId="5" fillId="0" borderId="26" xfId="1" applyFont="1" applyBorder="1"/>
    <xf numFmtId="43" fontId="5" fillId="0" borderId="28" xfId="1" applyFont="1" applyBorder="1"/>
    <xf numFmtId="43" fontId="5" fillId="0" borderId="30" xfId="1" applyFont="1" applyBorder="1"/>
    <xf numFmtId="0" fontId="5" fillId="0" borderId="48" xfId="0" applyFont="1" applyBorder="1" applyAlignment="1">
      <alignment vertical="center" wrapText="1"/>
    </xf>
    <xf numFmtId="0" fontId="5" fillId="0" borderId="27" xfId="0" applyFont="1" applyBorder="1" applyAlignment="1">
      <alignment vertical="center"/>
    </xf>
    <xf numFmtId="43" fontId="5" fillId="0" borderId="49" xfId="1" applyFont="1" applyBorder="1" applyAlignment="1">
      <alignment horizontal="center" vertical="center" wrapText="1"/>
    </xf>
    <xf numFmtId="43" fontId="5" fillId="0" borderId="49" xfId="1" applyFont="1" applyBorder="1"/>
    <xf numFmtId="43" fontId="5" fillId="0" borderId="49" xfId="1" applyFont="1" applyBorder="1" applyAlignment="1">
      <alignment horizontal="center" vertical="center"/>
    </xf>
    <xf numFmtId="43" fontId="12" fillId="0" borderId="49" xfId="1" applyFont="1" applyBorder="1"/>
    <xf numFmtId="43" fontId="5" fillId="0" borderId="50" xfId="1" applyFont="1" applyBorder="1"/>
    <xf numFmtId="43" fontId="12" fillId="0" borderId="50" xfId="1" applyFont="1" applyBorder="1"/>
    <xf numFmtId="0" fontId="12" fillId="0" borderId="29" xfId="0" applyFont="1" applyBorder="1" applyAlignment="1">
      <alignment vertical="center"/>
    </xf>
    <xf numFmtId="0" fontId="5" fillId="0" borderId="14" xfId="0" applyFont="1" applyBorder="1" applyAlignment="1">
      <alignment vertical="center"/>
    </xf>
    <xf numFmtId="0" fontId="5" fillId="0" borderId="5" xfId="0" applyFont="1" applyBorder="1" applyAlignment="1">
      <alignment vertical="center"/>
    </xf>
    <xf numFmtId="0" fontId="12" fillId="0" borderId="0" xfId="0" applyFont="1" applyAlignment="1">
      <alignment horizontal="left" vertical="center"/>
    </xf>
    <xf numFmtId="0" fontId="5" fillId="0" borderId="5" xfId="0" applyFont="1" applyBorder="1" applyAlignment="1">
      <alignment horizontal="left" vertical="top" wrapText="1"/>
    </xf>
    <xf numFmtId="0" fontId="10" fillId="0" borderId="3" xfId="0" applyFont="1" applyBorder="1" applyAlignment="1">
      <alignment horizontal="center" vertical="center"/>
    </xf>
    <xf numFmtId="0" fontId="8" fillId="0" borderId="0" xfId="0" applyFont="1" applyAlignment="1">
      <alignment horizontal="left"/>
    </xf>
    <xf numFmtId="15" fontId="9" fillId="2" borderId="14" xfId="0" quotePrefix="1"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5" fillId="0" borderId="5" xfId="0" applyFont="1" applyBorder="1" applyAlignment="1">
      <alignment horizontal="left" wrapText="1"/>
    </xf>
    <xf numFmtId="0" fontId="5" fillId="2" borderId="5" xfId="0" applyFont="1" applyFill="1" applyBorder="1" applyAlignment="1">
      <alignment horizontal="left" wrapText="1"/>
    </xf>
    <xf numFmtId="0" fontId="9" fillId="0" borderId="5" xfId="0" applyFont="1" applyBorder="1" applyAlignment="1">
      <alignment horizontal="left" vertical="center" wrapText="1"/>
    </xf>
    <xf numFmtId="0" fontId="5" fillId="0" borderId="8" xfId="0" applyFont="1" applyBorder="1" applyAlignment="1">
      <alignment horizontal="left"/>
    </xf>
    <xf numFmtId="0" fontId="5" fillId="0" borderId="10" xfId="0" applyFont="1" applyBorder="1" applyAlignment="1">
      <alignment horizontal="center" wrapText="1"/>
    </xf>
    <xf numFmtId="0" fontId="5" fillId="0" borderId="0" xfId="0" applyFont="1" applyAlignment="1">
      <alignment horizontal="center" wrapText="1"/>
    </xf>
    <xf numFmtId="0" fontId="25" fillId="0" borderId="10" xfId="2" applyBorder="1" applyAlignment="1">
      <alignment horizontal="left" vertical="center"/>
    </xf>
    <xf numFmtId="0" fontId="25" fillId="0" borderId="10" xfId="2" applyBorder="1" applyAlignment="1">
      <alignment horizontal="left"/>
    </xf>
    <xf numFmtId="0" fontId="19" fillId="0" borderId="11" xfId="0" applyFont="1" applyBorder="1"/>
    <xf numFmtId="0" fontId="38" fillId="0" borderId="5" xfId="0" applyFont="1" applyBorder="1"/>
    <xf numFmtId="43" fontId="38" fillId="0" borderId="15" xfId="1" applyFont="1" applyBorder="1" applyAlignment="1">
      <alignment wrapText="1"/>
    </xf>
    <xf numFmtId="0" fontId="26" fillId="0" borderId="0" xfId="0" applyFont="1" applyAlignment="1">
      <alignment vertical="center"/>
    </xf>
    <xf numFmtId="43" fontId="38" fillId="0" borderId="15" xfId="0" applyNumberFormat="1" applyFont="1" applyBorder="1"/>
    <xf numFmtId="0" fontId="5" fillId="0" borderId="15" xfId="0" applyFont="1" applyBorder="1" applyAlignment="1">
      <alignment horizontal="left" vertical="top" wrapText="1"/>
    </xf>
    <xf numFmtId="0" fontId="5" fillId="0" borderId="0" xfId="0" applyFont="1" applyAlignment="1">
      <alignment horizontal="left" vertical="top" wrapText="1"/>
    </xf>
    <xf numFmtId="0" fontId="9"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4" xfId="0" applyFont="1" applyFill="1" applyBorder="1" applyAlignment="1">
      <alignment vertical="center" wrapText="1"/>
    </xf>
    <xf numFmtId="0" fontId="2" fillId="0" borderId="0" xfId="0" quotePrefix="1" applyFont="1"/>
    <xf numFmtId="0" fontId="2" fillId="0" borderId="10" xfId="0" applyFont="1" applyBorder="1" applyAlignment="1">
      <alignment horizontal="center"/>
    </xf>
    <xf numFmtId="0" fontId="33" fillId="0" borderId="15" xfId="0" applyFont="1" applyBorder="1" applyAlignment="1">
      <alignment horizontal="center" vertical="center" wrapText="1"/>
    </xf>
    <xf numFmtId="0" fontId="2" fillId="0" borderId="9" xfId="0" applyFont="1" applyBorder="1" applyAlignment="1">
      <alignment horizontal="center"/>
    </xf>
    <xf numFmtId="0" fontId="40" fillId="0" borderId="0" xfId="0" applyFont="1"/>
    <xf numFmtId="0" fontId="9" fillId="0" borderId="0" xfId="0" applyFont="1" applyAlignment="1">
      <alignment vertical="center" wrapText="1"/>
    </xf>
    <xf numFmtId="0" fontId="9" fillId="2" borderId="14" xfId="0" applyFont="1" applyFill="1" applyBorder="1" applyAlignment="1">
      <alignment horizontal="left" vertical="center" wrapText="1"/>
    </xf>
    <xf numFmtId="0" fontId="10" fillId="0" borderId="4" xfId="0" applyFont="1" applyBorder="1" applyAlignment="1">
      <alignment horizontal="center" vertical="center" wrapText="1"/>
    </xf>
    <xf numFmtId="43" fontId="2" fillId="0" borderId="4" xfId="1" applyFont="1" applyBorder="1" applyAlignment="1">
      <alignment wrapText="1"/>
    </xf>
    <xf numFmtId="43" fontId="2" fillId="0" borderId="1" xfId="0" applyNumberFormat="1" applyFont="1" applyBorder="1"/>
    <xf numFmtId="0" fontId="24" fillId="0" borderId="10" xfId="0" applyFont="1" applyBorder="1" applyAlignment="1">
      <alignment horizontal="left" vertical="center"/>
    </xf>
    <xf numFmtId="0" fontId="42" fillId="0" borderId="0" xfId="0" applyFont="1"/>
    <xf numFmtId="0" fontId="5" fillId="0" borderId="15" xfId="0" applyFont="1" applyBorder="1" applyAlignment="1">
      <alignment horizontal="left" wrapText="1"/>
    </xf>
    <xf numFmtId="0" fontId="9" fillId="0" borderId="15" xfId="0" applyFont="1" applyBorder="1" applyAlignment="1">
      <alignment horizontal="left" vertical="center" wrapText="1"/>
    </xf>
    <xf numFmtId="0" fontId="9" fillId="0" borderId="0" xfId="0" quotePrefix="1" applyFont="1" applyAlignment="1">
      <alignment horizontal="left" vertical="center"/>
    </xf>
    <xf numFmtId="0" fontId="10" fillId="0" borderId="0" xfId="0" quotePrefix="1" applyFont="1" applyAlignment="1">
      <alignment horizontal="left" vertical="center"/>
    </xf>
    <xf numFmtId="43" fontId="12" fillId="0" borderId="10" xfId="1" applyFont="1" applyBorder="1"/>
    <xf numFmtId="0" fontId="12" fillId="0" borderId="10" xfId="0" applyFont="1" applyBorder="1"/>
    <xf numFmtId="0" fontId="9" fillId="0" borderId="15" xfId="0" applyFont="1" applyBorder="1" applyAlignment="1">
      <alignment vertical="center" wrapText="1"/>
    </xf>
    <xf numFmtId="0" fontId="10" fillId="0" borderId="15" xfId="0" quotePrefix="1" applyFont="1" applyBorder="1" applyAlignment="1">
      <alignment horizontal="left" vertical="center"/>
    </xf>
    <xf numFmtId="0" fontId="9" fillId="0" borderId="15" xfId="0" quotePrefix="1" applyFont="1" applyBorder="1" applyAlignment="1">
      <alignment horizontal="left" vertical="center"/>
    </xf>
    <xf numFmtId="15" fontId="24" fillId="0" borderId="0" xfId="2" quotePrefix="1" applyNumberFormat="1" applyFont="1" applyBorder="1" applyAlignment="1">
      <alignment horizontal="center" vertical="center" wrapText="1"/>
    </xf>
    <xf numFmtId="43" fontId="2" fillId="0" borderId="0" xfId="1" applyFont="1" applyBorder="1"/>
    <xf numFmtId="43" fontId="2" fillId="0" borderId="28" xfId="1" applyFont="1" applyBorder="1"/>
    <xf numFmtId="0" fontId="5" fillId="0" borderId="12" xfId="0" applyFont="1" applyBorder="1" applyAlignment="1">
      <alignment horizontal="center" vertical="top" wrapText="1"/>
    </xf>
    <xf numFmtId="0" fontId="12" fillId="0" borderId="0" xfId="0" applyFont="1" applyAlignment="1">
      <alignment horizontal="left"/>
    </xf>
    <xf numFmtId="0" fontId="5" fillId="0" borderId="10" xfId="0" applyFont="1" applyBorder="1" applyAlignment="1">
      <alignment horizontal="center" vertical="center"/>
    </xf>
    <xf numFmtId="0" fontId="9" fillId="2" borderId="15"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15" fontId="9" fillId="2" borderId="0" xfId="0" quotePrefix="1" applyNumberFormat="1" applyFont="1" applyFill="1" applyAlignment="1">
      <alignment horizontal="center" vertical="center" wrapText="1"/>
    </xf>
    <xf numFmtId="0" fontId="9" fillId="2" borderId="0" xfId="0" applyFont="1" applyFill="1" applyAlignment="1">
      <alignment horizontal="left" vertical="center" wrapText="1"/>
    </xf>
    <xf numFmtId="43" fontId="12" fillId="0" borderId="5" xfId="1" applyFont="1" applyBorder="1" applyAlignment="1">
      <alignment horizontal="center" vertical="center"/>
    </xf>
    <xf numFmtId="0" fontId="19" fillId="0" borderId="10" xfId="0" applyFont="1" applyBorder="1"/>
    <xf numFmtId="43" fontId="19" fillId="0" borderId="10" xfId="1" applyFont="1" applyBorder="1"/>
    <xf numFmtId="43" fontId="19" fillId="0" borderId="5" xfId="1" applyFont="1" applyBorder="1"/>
    <xf numFmtId="0" fontId="44" fillId="0" borderId="10" xfId="0" applyFont="1" applyBorder="1" applyAlignment="1">
      <alignment vertical="center"/>
    </xf>
    <xf numFmtId="0" fontId="23" fillId="0" borderId="0" xfId="0" applyFont="1" applyAlignment="1">
      <alignment horizontal="left" wrapText="1"/>
    </xf>
    <xf numFmtId="0" fontId="23" fillId="0" borderId="15" xfId="0" applyFont="1" applyBorder="1" applyAlignment="1">
      <alignment horizontal="left" wrapText="1"/>
    </xf>
    <xf numFmtId="0" fontId="44" fillId="0" borderId="10" xfId="0" applyFont="1" applyBorder="1" applyAlignment="1">
      <alignment vertical="top"/>
    </xf>
    <xf numFmtId="0" fontId="19" fillId="0" borderId="10" xfId="0" applyFont="1" applyBorder="1" applyAlignment="1">
      <alignment horizontal="left" wrapText="1"/>
    </xf>
    <xf numFmtId="0" fontId="19" fillId="0" borderId="0" xfId="0" applyFont="1" applyAlignment="1">
      <alignment horizontal="left" wrapText="1"/>
    </xf>
    <xf numFmtId="0" fontId="19" fillId="0" borderId="15" xfId="0" applyFont="1" applyBorder="1" applyAlignment="1">
      <alignment horizontal="left" wrapText="1"/>
    </xf>
    <xf numFmtId="0" fontId="19" fillId="0" borderId="15" xfId="0" applyFont="1" applyBorder="1" applyAlignment="1">
      <alignment horizontal="left"/>
    </xf>
    <xf numFmtId="0" fontId="0" fillId="0" borderId="0" xfId="0" applyAlignment="1">
      <alignment wrapText="1"/>
    </xf>
    <xf numFmtId="0" fontId="23" fillId="0" borderId="15" xfId="0" applyFont="1" applyBorder="1" applyAlignment="1">
      <alignment horizontal="left"/>
    </xf>
    <xf numFmtId="0" fontId="19" fillId="2" borderId="15" xfId="0" applyFont="1" applyFill="1" applyBorder="1" applyAlignment="1">
      <alignment horizontal="left" wrapText="1"/>
    </xf>
    <xf numFmtId="0" fontId="44" fillId="0" borderId="10" xfId="0" applyFont="1" applyBorder="1" applyAlignment="1">
      <alignment horizontal="left" vertical="center" wrapText="1"/>
    </xf>
    <xf numFmtId="0" fontId="44" fillId="0" borderId="10" xfId="0" applyFont="1" applyBorder="1" applyAlignment="1">
      <alignment horizontal="left" vertical="center"/>
    </xf>
    <xf numFmtId="0" fontId="48" fillId="0" borderId="0" xfId="0" applyFont="1"/>
    <xf numFmtId="0" fontId="23" fillId="0" borderId="10" xfId="0" applyFont="1" applyBorder="1" applyAlignment="1">
      <alignment horizontal="left"/>
    </xf>
    <xf numFmtId="0" fontId="49" fillId="0" borderId="10" xfId="0" applyFont="1" applyBorder="1" applyAlignment="1">
      <alignment horizontal="left" vertical="center"/>
    </xf>
    <xf numFmtId="0" fontId="9" fillId="2" borderId="6" xfId="0" applyFont="1" applyFill="1" applyBorder="1" applyAlignment="1">
      <alignment horizontal="center" vertical="center" wrapText="1"/>
    </xf>
    <xf numFmtId="0" fontId="47" fillId="0" borderId="0" xfId="0" applyFont="1"/>
    <xf numFmtId="0" fontId="44" fillId="0" borderId="15" xfId="0" applyFont="1" applyBorder="1" applyAlignment="1">
      <alignment horizontal="left" vertical="center" wrapText="1"/>
    </xf>
    <xf numFmtId="0" fontId="44" fillId="0" borderId="0" xfId="0" applyFont="1" applyAlignment="1">
      <alignment horizontal="left" vertical="center" wrapText="1"/>
    </xf>
    <xf numFmtId="0" fontId="10" fillId="0" borderId="10" xfId="0" applyFont="1" applyBorder="1" applyAlignment="1">
      <alignment horizontal="left" vertical="center"/>
    </xf>
    <xf numFmtId="0" fontId="9" fillId="0" borderId="10" xfId="0" applyFont="1" applyBorder="1" applyAlignment="1">
      <alignment horizontal="left" vertical="center"/>
    </xf>
    <xf numFmtId="0" fontId="9" fillId="0" borderId="0" xfId="0" applyFont="1" applyAlignment="1">
      <alignment horizontal="left" vertical="center"/>
    </xf>
    <xf numFmtId="0" fontId="5" fillId="0" borderId="14" xfId="0" applyFont="1" applyBorder="1" applyAlignment="1">
      <alignment horizontal="center" vertical="center"/>
    </xf>
    <xf numFmtId="0" fontId="2" fillId="0" borderId="14" xfId="0" applyFont="1" applyBorder="1" applyAlignment="1">
      <alignment horizontal="center" vertical="center"/>
    </xf>
    <xf numFmtId="43" fontId="2" fillId="0" borderId="14" xfId="1" applyFont="1" applyBorder="1" applyAlignment="1">
      <alignment horizontal="center" vertical="center" wrapText="1"/>
    </xf>
    <xf numFmtId="0" fontId="16" fillId="0" borderId="2" xfId="0" applyFont="1" applyBorder="1" applyAlignment="1">
      <alignment horizontal="center" vertical="center"/>
    </xf>
    <xf numFmtId="43" fontId="4" fillId="0" borderId="1" xfId="0" applyNumberFormat="1" applyFont="1" applyBorder="1" applyAlignment="1">
      <alignment horizontal="center" vertical="center"/>
    </xf>
    <xf numFmtId="0" fontId="44" fillId="0" borderId="10" xfId="0" applyFont="1" applyBorder="1" applyAlignment="1">
      <alignment vertical="center" wrapText="1"/>
    </xf>
    <xf numFmtId="0" fontId="44" fillId="0" borderId="15" xfId="0" applyFont="1" applyBorder="1" applyAlignment="1">
      <alignment vertical="center" wrapText="1"/>
    </xf>
    <xf numFmtId="0" fontId="47" fillId="0" borderId="4" xfId="0" applyFont="1" applyBorder="1"/>
    <xf numFmtId="0" fontId="47" fillId="0" borderId="5" xfId="0" applyFont="1" applyBorder="1"/>
    <xf numFmtId="0" fontId="44" fillId="0" borderId="5" xfId="0" applyFont="1" applyBorder="1" applyAlignment="1">
      <alignment vertical="center" wrapText="1"/>
    </xf>
    <xf numFmtId="0" fontId="16" fillId="0" borderId="9" xfId="0" applyFont="1" applyBorder="1" applyAlignment="1">
      <alignment vertical="center"/>
    </xf>
    <xf numFmtId="43" fontId="5" fillId="0" borderId="14" xfId="1" applyFont="1" applyBorder="1" applyAlignment="1">
      <alignment horizontal="center" vertical="center" wrapText="1"/>
    </xf>
    <xf numFmtId="0" fontId="9" fillId="0" borderId="2" xfId="0" applyFont="1" applyBorder="1" applyAlignment="1">
      <alignment horizontal="center" vertical="center"/>
    </xf>
    <xf numFmtId="43" fontId="12" fillId="0" borderId="1" xfId="0" applyNumberFormat="1" applyFont="1" applyBorder="1" applyAlignment="1">
      <alignment horizontal="center" vertical="center"/>
    </xf>
    <xf numFmtId="43" fontId="5" fillId="0" borderId="15" xfId="1" applyFont="1" applyBorder="1" applyAlignment="1">
      <alignment vertical="center" wrapText="1"/>
    </xf>
    <xf numFmtId="43" fontId="5" fillId="0" borderId="15" xfId="0" applyNumberFormat="1" applyFont="1" applyBorder="1" applyAlignment="1">
      <alignment vertical="center"/>
    </xf>
    <xf numFmtId="0" fontId="19" fillId="0" borderId="5" xfId="0" applyFont="1" applyBorder="1" applyAlignment="1">
      <alignment horizontal="center" vertical="center"/>
    </xf>
    <xf numFmtId="43" fontId="19" fillId="0" borderId="15" xfId="1" applyFont="1" applyBorder="1" applyAlignment="1">
      <alignment horizontal="center" vertical="center" wrapText="1"/>
    </xf>
    <xf numFmtId="0" fontId="33" fillId="0" borderId="0" xfId="0" applyFont="1" applyAlignment="1">
      <alignment horizontal="center" vertical="center"/>
    </xf>
    <xf numFmtId="43" fontId="19" fillId="0" borderId="15" xfId="0" applyNumberFormat="1" applyFont="1" applyBorder="1" applyAlignment="1">
      <alignment horizontal="center" vertical="center"/>
    </xf>
    <xf numFmtId="0" fontId="33" fillId="0" borderId="11" xfId="0" applyFont="1" applyBorder="1" applyAlignment="1">
      <alignment horizontal="center" vertical="center" wrapText="1"/>
    </xf>
    <xf numFmtId="0" fontId="33" fillId="0" borderId="13" xfId="0" applyFont="1" applyBorder="1" applyAlignment="1">
      <alignment horizontal="center" vertical="center"/>
    </xf>
    <xf numFmtId="0" fontId="33" fillId="0" borderId="12" xfId="0" applyFont="1" applyBorder="1" applyAlignment="1">
      <alignment horizontal="left" vertical="center" wrapText="1"/>
    </xf>
    <xf numFmtId="15" fontId="33" fillId="0" borderId="12" xfId="0" quotePrefix="1" applyNumberFormat="1" applyFont="1" applyBorder="1" applyAlignment="1">
      <alignment horizontal="center" vertical="center" wrapText="1"/>
    </xf>
    <xf numFmtId="0" fontId="52" fillId="0" borderId="15" xfId="0" applyFont="1" applyBorder="1" applyAlignment="1">
      <alignment wrapText="1"/>
    </xf>
    <xf numFmtId="0" fontId="2" fillId="0" borderId="7" xfId="0" applyFont="1" applyBorder="1"/>
    <xf numFmtId="0" fontId="12" fillId="0" borderId="10" xfId="0" applyFont="1" applyBorder="1" applyAlignment="1">
      <alignment horizontal="left"/>
    </xf>
    <xf numFmtId="0" fontId="20" fillId="0" borderId="10" xfId="0" applyFont="1" applyBorder="1" applyAlignment="1">
      <alignment horizontal="left" vertical="top" wrapText="1"/>
    </xf>
    <xf numFmtId="0" fontId="9" fillId="0" borderId="13" xfId="0" applyFont="1" applyBorder="1" applyAlignment="1">
      <alignment horizontal="center" vertical="center" wrapText="1"/>
    </xf>
    <xf numFmtId="0" fontId="8" fillId="0" borderId="10" xfId="0" applyFont="1" applyBorder="1" applyAlignment="1">
      <alignment horizontal="left" vertical="center" wrapText="1"/>
    </xf>
    <xf numFmtId="0" fontId="8" fillId="0" borderId="15" xfId="0" applyFont="1" applyBorder="1" applyAlignment="1">
      <alignment horizontal="left" vertical="center" wrapText="1"/>
    </xf>
    <xf numFmtId="0" fontId="9" fillId="0" borderId="0" xfId="0" applyFont="1" applyAlignment="1">
      <alignment horizontal="center" vertical="center"/>
    </xf>
    <xf numFmtId="0" fontId="8" fillId="0" borderId="0" xfId="0" applyFont="1" applyAlignment="1">
      <alignment horizontal="left" vertical="center" wrapText="1"/>
    </xf>
    <xf numFmtId="0" fontId="17" fillId="0" borderId="10" xfId="0" applyFont="1" applyBorder="1" applyAlignment="1">
      <alignment horizontal="left" vertical="center"/>
    </xf>
    <xf numFmtId="0" fontId="20" fillId="0" borderId="0" xfId="0" applyFont="1" applyAlignment="1">
      <alignment horizontal="left" vertical="top" wrapText="1"/>
    </xf>
    <xf numFmtId="0" fontId="5" fillId="0" borderId="5" xfId="0" applyFont="1" applyBorder="1" applyAlignment="1">
      <alignment horizontal="center" vertical="center"/>
    </xf>
    <xf numFmtId="43" fontId="5" fillId="0" borderId="15" xfId="1" applyFont="1" applyBorder="1" applyAlignment="1">
      <alignment horizontal="center" vertical="center" wrapText="1"/>
    </xf>
    <xf numFmtId="43" fontId="5" fillId="0" borderId="15" xfId="0" applyNumberFormat="1" applyFont="1" applyBorder="1" applyAlignment="1">
      <alignment horizontal="center" vertical="center"/>
    </xf>
    <xf numFmtId="43" fontId="5" fillId="0" borderId="11" xfId="1" applyFont="1" applyBorder="1" applyAlignment="1">
      <alignment horizontal="center" vertical="center" wrapText="1"/>
    </xf>
    <xf numFmtId="0" fontId="33" fillId="0" borderId="10" xfId="0" applyFont="1" applyBorder="1" applyAlignment="1">
      <alignment horizontal="center" vertical="center"/>
    </xf>
    <xf numFmtId="15" fontId="33" fillId="0" borderId="0" xfId="0" quotePrefix="1" applyNumberFormat="1" applyFont="1" applyAlignment="1">
      <alignment horizontal="center" vertical="center" wrapText="1"/>
    </xf>
    <xf numFmtId="43" fontId="12" fillId="0" borderId="15" xfId="0" applyNumberFormat="1" applyFont="1" applyBorder="1" applyAlignment="1">
      <alignment horizontal="center" vertical="center"/>
    </xf>
    <xf numFmtId="0" fontId="33" fillId="0" borderId="0" xfId="0" applyFont="1" applyAlignment="1">
      <alignment horizontal="center" vertical="center" wrapText="1"/>
    </xf>
    <xf numFmtId="15" fontId="33" fillId="0" borderId="15" xfId="0" quotePrefix="1" applyNumberFormat="1" applyFont="1" applyBorder="1" applyAlignment="1">
      <alignment horizontal="center" vertical="center" wrapText="1"/>
    </xf>
    <xf numFmtId="0" fontId="53" fillId="0" borderId="10" xfId="0" applyFont="1" applyBorder="1" applyAlignment="1">
      <alignment vertical="top"/>
    </xf>
    <xf numFmtId="0" fontId="9" fillId="0" borderId="13" xfId="0" applyFont="1" applyBorder="1" applyAlignment="1">
      <alignment horizontal="center" vertical="center"/>
    </xf>
    <xf numFmtId="0" fontId="2" fillId="0" borderId="15" xfId="0" applyFont="1" applyBorder="1" applyAlignment="1">
      <alignment wrapText="1"/>
    </xf>
    <xf numFmtId="43" fontId="12" fillId="0" borderId="15" xfId="0" applyNumberFormat="1" applyFont="1" applyBorder="1" applyAlignment="1">
      <alignment vertical="center"/>
    </xf>
    <xf numFmtId="0" fontId="5" fillId="0" borderId="15" xfId="0" applyFont="1" applyBorder="1" applyAlignment="1">
      <alignment vertical="center" wrapText="1"/>
    </xf>
    <xf numFmtId="0" fontId="2" fillId="0" borderId="5" xfId="0" applyFont="1" applyBorder="1" applyAlignment="1">
      <alignment vertical="center"/>
    </xf>
    <xf numFmtId="43" fontId="2" fillId="0" borderId="15" xfId="1" applyFont="1" applyBorder="1" applyAlignment="1">
      <alignment vertical="center" wrapText="1"/>
    </xf>
    <xf numFmtId="0" fontId="2" fillId="0" borderId="0" xfId="0" applyFont="1" applyAlignment="1">
      <alignment vertical="center"/>
    </xf>
    <xf numFmtId="0" fontId="19" fillId="0" borderId="5" xfId="0" applyFont="1" applyBorder="1"/>
    <xf numFmtId="0" fontId="19" fillId="0" borderId="4" xfId="0" applyFont="1" applyBorder="1"/>
    <xf numFmtId="0" fontId="5" fillId="0" borderId="10" xfId="0" quotePrefix="1" applyFont="1" applyBorder="1" applyAlignment="1">
      <alignment horizontal="left" vertical="center" wrapText="1"/>
    </xf>
    <xf numFmtId="15" fontId="9" fillId="0" borderId="15" xfId="0" quotePrefix="1" applyNumberFormat="1" applyFont="1" applyBorder="1" applyAlignment="1">
      <alignment horizontal="center" vertical="center" wrapText="1"/>
    </xf>
    <xf numFmtId="0" fontId="24" fillId="0" borderId="14" xfId="0" applyFont="1" applyBorder="1" applyAlignment="1">
      <alignment horizontal="center" vertical="center" wrapText="1"/>
    </xf>
    <xf numFmtId="15" fontId="9" fillId="0" borderId="14" xfId="0" quotePrefix="1" applyNumberFormat="1" applyFont="1" applyBorder="1" applyAlignment="1">
      <alignment horizontal="center" vertical="center" wrapText="1"/>
    </xf>
    <xf numFmtId="0" fontId="5" fillId="0" borderId="9" xfId="0" applyFont="1" applyBorder="1" applyAlignment="1">
      <alignment horizontal="left" wrapText="1"/>
    </xf>
    <xf numFmtId="0" fontId="5" fillId="0" borderId="3" xfId="0" quotePrefix="1" applyFont="1" applyBorder="1" applyAlignment="1">
      <alignment horizontal="left" vertical="center" wrapText="1"/>
    </xf>
    <xf numFmtId="0" fontId="12" fillId="0" borderId="10" xfId="0" applyFont="1" applyBorder="1" applyAlignment="1">
      <alignment horizontal="left" wrapText="1"/>
    </xf>
    <xf numFmtId="0" fontId="5" fillId="0" borderId="14" xfId="0" applyFont="1" applyBorder="1" applyAlignment="1">
      <alignment horizontal="right"/>
    </xf>
    <xf numFmtId="0" fontId="18" fillId="0" borderId="14" xfId="0" applyFont="1" applyBorder="1" applyAlignment="1">
      <alignment horizontal="center"/>
    </xf>
    <xf numFmtId="0" fontId="5" fillId="0" borderId="14" xfId="0" applyFont="1" applyBorder="1" applyAlignment="1">
      <alignment horizontal="center" wrapText="1"/>
    </xf>
    <xf numFmtId="0" fontId="14" fillId="0" borderId="14" xfId="0" applyFont="1" applyBorder="1" applyAlignment="1">
      <alignment horizontal="center"/>
    </xf>
    <xf numFmtId="0" fontId="5" fillId="0" borderId="14" xfId="0" applyFont="1" applyBorder="1" applyAlignment="1">
      <alignment horizontal="center"/>
    </xf>
    <xf numFmtId="0" fontId="12" fillId="0" borderId="0" xfId="0" applyFont="1"/>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8" fillId="0" borderId="10" xfId="0" applyFont="1" applyBorder="1" applyAlignment="1">
      <alignment horizontal="left" vertical="center" wrapText="1"/>
    </xf>
    <xf numFmtId="0" fontId="8" fillId="0" borderId="15" xfId="0" applyFont="1" applyBorder="1" applyAlignment="1">
      <alignment horizontal="left" vertical="center" wrapText="1"/>
    </xf>
    <xf numFmtId="0" fontId="5" fillId="0" borderId="10" xfId="0" quotePrefix="1" applyFont="1" applyBorder="1" applyAlignment="1">
      <alignment horizontal="left" vertical="center" wrapText="1"/>
    </xf>
    <xf numFmtId="0" fontId="5" fillId="0" borderId="15" xfId="0" quotePrefix="1" applyFont="1" applyBorder="1" applyAlignment="1">
      <alignment horizontal="left" vertical="center" wrapText="1"/>
    </xf>
    <xf numFmtId="0" fontId="9" fillId="0" borderId="10" xfId="0" quotePrefix="1" applyFont="1" applyBorder="1" applyAlignment="1">
      <alignment horizontal="left" vertical="top" wrapText="1"/>
    </xf>
    <xf numFmtId="0" fontId="9" fillId="0" borderId="15" xfId="0" quotePrefix="1" applyFont="1" applyBorder="1" applyAlignment="1">
      <alignment horizontal="left" vertical="top" wrapText="1"/>
    </xf>
    <xf numFmtId="0" fontId="5" fillId="0" borderId="10" xfId="0" applyFont="1" applyBorder="1" applyAlignment="1">
      <alignment horizontal="left" vertical="top" wrapText="1"/>
    </xf>
    <xf numFmtId="0" fontId="5" fillId="0" borderId="15" xfId="0" applyFont="1" applyBorder="1" applyAlignment="1">
      <alignment horizontal="left" vertical="top" wrapText="1"/>
    </xf>
    <xf numFmtId="0" fontId="12" fillId="0" borderId="2" xfId="0" applyFont="1" applyBorder="1" applyAlignment="1">
      <alignment horizontal="center" wrapText="1"/>
    </xf>
    <xf numFmtId="0" fontId="12" fillId="0" borderId="3" xfId="0" applyFont="1" applyBorder="1" applyAlignment="1">
      <alignment horizontal="center"/>
    </xf>
    <xf numFmtId="0" fontId="12" fillId="0" borderId="2" xfId="0" applyFont="1" applyBorder="1" applyAlignment="1">
      <alignment horizontal="center"/>
    </xf>
    <xf numFmtId="0" fontId="12"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1" xfId="0" applyFont="1" applyBorder="1" applyAlignment="1">
      <alignment horizontal="center"/>
    </xf>
    <xf numFmtId="0" fontId="12" fillId="0" borderId="3" xfId="0" applyFont="1" applyBorder="1" applyAlignment="1">
      <alignment vertical="center" wrapText="1"/>
    </xf>
    <xf numFmtId="0" fontId="12" fillId="0" borderId="2" xfId="0" applyFont="1" applyBorder="1" applyAlignment="1">
      <alignment vertical="center" wrapText="1"/>
    </xf>
    <xf numFmtId="0" fontId="12" fillId="0" borderId="1" xfId="0" applyFont="1" applyBorder="1" applyAlignment="1">
      <alignment vertical="center" wrapText="1"/>
    </xf>
    <xf numFmtId="0" fontId="5" fillId="0" borderId="13" xfId="0" applyFont="1" applyBorder="1" applyAlignment="1">
      <alignment horizontal="center"/>
    </xf>
    <xf numFmtId="0" fontId="5" fillId="0" borderId="11" xfId="0" applyFont="1" applyBorder="1" applyAlignment="1">
      <alignment horizontal="center"/>
    </xf>
    <xf numFmtId="0" fontId="5" fillId="0" borderId="9" xfId="0" applyFont="1" applyBorder="1" applyAlignment="1">
      <alignment horizontal="center"/>
    </xf>
    <xf numFmtId="0" fontId="5" fillId="0" borderId="7" xfId="0" applyFont="1" applyBorder="1" applyAlignment="1">
      <alignment horizontal="center"/>
    </xf>
    <xf numFmtId="0" fontId="12" fillId="0" borderId="13" xfId="0" applyFont="1" applyBorder="1" applyAlignment="1">
      <alignment horizontal="center"/>
    </xf>
    <xf numFmtId="0" fontId="12" fillId="0" borderId="12" xfId="0" applyFont="1" applyBorder="1" applyAlignment="1">
      <alignment horizontal="center"/>
    </xf>
    <xf numFmtId="0" fontId="12" fillId="0" borderId="11" xfId="0" applyFont="1" applyBorder="1" applyAlignment="1">
      <alignment horizontal="center"/>
    </xf>
    <xf numFmtId="0" fontId="12" fillId="0" borderId="9" xfId="0" applyFont="1" applyBorder="1" applyAlignment="1">
      <alignment horizontal="center"/>
    </xf>
    <xf numFmtId="0" fontId="12" fillId="0" borderId="8" xfId="0" applyFont="1" applyBorder="1" applyAlignment="1">
      <alignment horizontal="center"/>
    </xf>
    <xf numFmtId="0" fontId="12" fillId="0" borderId="7" xfId="0" applyFont="1" applyBorder="1" applyAlignment="1">
      <alignment horizontal="center"/>
    </xf>
    <xf numFmtId="0" fontId="20" fillId="0" borderId="10" xfId="0" applyFont="1" applyBorder="1" applyAlignment="1">
      <alignment horizontal="left" vertical="top" wrapText="1"/>
    </xf>
    <xf numFmtId="0" fontId="20" fillId="0" borderId="0" xfId="0" applyFont="1" applyAlignment="1">
      <alignment horizontal="left" vertical="top" wrapText="1"/>
    </xf>
    <xf numFmtId="0" fontId="5" fillId="0" borderId="2" xfId="0" applyFont="1" applyBorder="1" applyAlignment="1">
      <alignment horizontal="center" vertical="center"/>
    </xf>
    <xf numFmtId="0" fontId="8" fillId="0" borderId="13" xfId="0" applyFont="1" applyBorder="1" applyAlignment="1">
      <alignment horizontal="left" vertical="center" wrapText="1"/>
    </xf>
    <xf numFmtId="0" fontId="8" fillId="0" borderId="12"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8" fillId="0" borderId="8" xfId="0" applyFont="1" applyBorder="1" applyAlignment="1">
      <alignment horizontal="left" vertical="center" wrapText="1"/>
    </xf>
    <xf numFmtId="0" fontId="8" fillId="0" borderId="7" xfId="0" applyFont="1" applyBorder="1" applyAlignment="1">
      <alignment horizontal="left" vertical="center" wrapText="1"/>
    </xf>
    <xf numFmtId="0" fontId="10" fillId="0" borderId="14" xfId="0" applyFont="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15" fontId="9" fillId="0" borderId="13" xfId="0" quotePrefix="1" applyNumberFormat="1" applyFont="1" applyBorder="1" applyAlignment="1">
      <alignment horizontal="center" vertical="center" wrapText="1"/>
    </xf>
    <xf numFmtId="0" fontId="9" fillId="0" borderId="11" xfId="0" applyFont="1" applyBorder="1" applyAlignment="1">
      <alignment horizontal="center" vertical="center" wrapText="1"/>
    </xf>
    <xf numFmtId="0" fontId="9" fillId="0" borderId="0" xfId="0" quotePrefix="1" applyFont="1" applyAlignment="1">
      <alignment horizontal="left" vertical="top" wrapText="1"/>
    </xf>
    <xf numFmtId="0" fontId="5" fillId="0" borderId="9" xfId="0" applyFont="1" applyBorder="1" applyAlignment="1">
      <alignment horizontal="left" wrapText="1"/>
    </xf>
    <xf numFmtId="0" fontId="5" fillId="0" borderId="8" xfId="0" applyFont="1" applyBorder="1" applyAlignment="1">
      <alignment horizontal="left"/>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1" xfId="0" applyFont="1" applyBorder="1" applyAlignment="1">
      <alignment vertical="center" wrapText="1"/>
    </xf>
    <xf numFmtId="0" fontId="5" fillId="0" borderId="12" xfId="0" applyFont="1" applyBorder="1" applyAlignment="1">
      <alignment horizontal="center"/>
    </xf>
    <xf numFmtId="0" fontId="5" fillId="0" borderId="8" xfId="0" applyFont="1" applyBorder="1" applyAlignment="1">
      <alignment horizontal="center"/>
    </xf>
    <xf numFmtId="0" fontId="8" fillId="0" borderId="0" xfId="0" applyFont="1" applyAlignment="1">
      <alignment horizontal="left" vertical="center" wrapText="1"/>
    </xf>
    <xf numFmtId="0" fontId="20" fillId="0" borderId="10" xfId="0" applyFont="1" applyBorder="1" applyAlignment="1">
      <alignment horizontal="left" vertical="center" wrapText="1"/>
    </xf>
    <xf numFmtId="0" fontId="20" fillId="0" borderId="0" xfId="0" applyFont="1" applyAlignment="1">
      <alignment horizontal="left" vertical="center" wrapText="1"/>
    </xf>
    <xf numFmtId="0" fontId="9" fillId="0" borderId="14" xfId="0" applyFont="1" applyBorder="1" applyAlignment="1">
      <alignment horizontal="left" vertical="center" wrapText="1"/>
    </xf>
    <xf numFmtId="15" fontId="9" fillId="0" borderId="14" xfId="0" quotePrefix="1" applyNumberFormat="1" applyFont="1" applyBorder="1" applyAlignment="1">
      <alignment horizontal="center" vertical="center" wrapText="1"/>
    </xf>
    <xf numFmtId="0" fontId="9" fillId="0" borderId="14" xfId="0" applyFont="1" applyBorder="1" applyAlignment="1">
      <alignment horizontal="center" vertical="center" wrapText="1"/>
    </xf>
    <xf numFmtId="0" fontId="33" fillId="0" borderId="12" xfId="0" applyFont="1" applyBorder="1" applyAlignment="1">
      <alignment horizontal="center" vertical="center" wrapText="1"/>
    </xf>
    <xf numFmtId="15" fontId="33" fillId="0" borderId="12" xfId="0" quotePrefix="1" applyNumberFormat="1" applyFont="1" applyBorder="1" applyAlignment="1">
      <alignment horizontal="center" vertical="center" wrapText="1"/>
    </xf>
    <xf numFmtId="15" fontId="33" fillId="0" borderId="11" xfId="0" quotePrefix="1" applyNumberFormat="1" applyFont="1" applyBorder="1" applyAlignment="1">
      <alignment horizontal="center" vertical="center" wrapText="1"/>
    </xf>
    <xf numFmtId="0" fontId="12" fillId="0" borderId="10" xfId="0" applyFont="1" applyBorder="1" applyAlignment="1">
      <alignment horizontal="left" vertical="center" wrapText="1"/>
    </xf>
    <xf numFmtId="0" fontId="12" fillId="0" borderId="0" xfId="0" applyFont="1" applyAlignment="1">
      <alignment horizontal="left" vertical="center" wrapText="1"/>
    </xf>
    <xf numFmtId="0" fontId="12" fillId="0" borderId="15" xfId="0" applyFont="1" applyBorder="1" applyAlignment="1">
      <alignment horizontal="left"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2" fillId="0" borderId="3" xfId="0" applyFont="1" applyBorder="1" applyAlignment="1">
      <alignment horizontal="right"/>
    </xf>
    <xf numFmtId="0" fontId="12" fillId="0" borderId="2" xfId="0" applyFont="1" applyBorder="1" applyAlignment="1">
      <alignment horizontal="right"/>
    </xf>
    <xf numFmtId="0" fontId="12" fillId="0" borderId="1" xfId="0" applyFont="1" applyBorder="1" applyAlignment="1">
      <alignment horizontal="right"/>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left" vertical="center" wrapText="1"/>
    </xf>
    <xf numFmtId="0" fontId="5" fillId="0" borderId="0" xfId="0" applyFont="1" applyAlignment="1">
      <alignment horizontal="left" vertical="center" wrapText="1"/>
    </xf>
    <xf numFmtId="0" fontId="5" fillId="0" borderId="15" xfId="0" applyFont="1" applyBorder="1" applyAlignment="1">
      <alignment horizontal="left" vertical="center" wrapText="1"/>
    </xf>
    <xf numFmtId="0" fontId="9" fillId="2" borderId="14" xfId="0" applyFont="1" applyFill="1" applyBorder="1" applyAlignment="1">
      <alignment horizontal="left" vertical="center" wrapText="1"/>
    </xf>
    <xf numFmtId="0" fontId="5" fillId="0" borderId="3" xfId="0" applyFont="1" applyBorder="1" applyAlignment="1">
      <alignment horizontal="center" wrapText="1"/>
    </xf>
    <xf numFmtId="0" fontId="5" fillId="0" borderId="2" xfId="0" applyFont="1" applyBorder="1" applyAlignment="1">
      <alignment horizontal="center" wrapText="1"/>
    </xf>
    <xf numFmtId="0" fontId="5" fillId="0" borderId="1" xfId="0" applyFont="1" applyBorder="1" applyAlignment="1">
      <alignment horizontal="center" wrapText="1"/>
    </xf>
    <xf numFmtId="15" fontId="9" fillId="2" borderId="6" xfId="0" quotePrefix="1" applyNumberFormat="1" applyFont="1" applyFill="1" applyBorder="1" applyAlignment="1">
      <alignment horizontal="center" vertical="center" wrapText="1"/>
    </xf>
    <xf numFmtId="15" fontId="9" fillId="2" borderId="5" xfId="0" quotePrefix="1" applyNumberFormat="1" applyFont="1" applyFill="1" applyBorder="1" applyAlignment="1">
      <alignment horizontal="center" vertical="center" wrapText="1"/>
    </xf>
    <xf numFmtId="15" fontId="9" fillId="2" borderId="4" xfId="0" quotePrefix="1" applyNumberFormat="1" applyFont="1" applyFill="1" applyBorder="1" applyAlignment="1">
      <alignment horizontal="center" vertical="center" wrapText="1"/>
    </xf>
    <xf numFmtId="0" fontId="12" fillId="0" borderId="3" xfId="0" applyFont="1" applyBorder="1" applyAlignment="1">
      <alignment horizontal="center" wrapText="1"/>
    </xf>
    <xf numFmtId="0" fontId="12" fillId="0" borderId="1" xfId="0" applyFont="1" applyBorder="1" applyAlignment="1">
      <alignment horizontal="center" wrapText="1"/>
    </xf>
    <xf numFmtId="0" fontId="53" fillId="0" borderId="10" xfId="0" applyFont="1" applyBorder="1" applyAlignment="1">
      <alignment horizontal="left" vertical="center" wrapText="1"/>
    </xf>
    <xf numFmtId="0" fontId="53" fillId="0" borderId="0" xfId="0" applyFont="1" applyAlignment="1">
      <alignment horizontal="left" vertical="center" wrapText="1"/>
    </xf>
    <xf numFmtId="0" fontId="53" fillId="0" borderId="15" xfId="0" applyFont="1" applyBorder="1" applyAlignment="1">
      <alignment horizontal="left" vertical="center" wrapText="1"/>
    </xf>
    <xf numFmtId="0" fontId="5" fillId="0" borderId="8" xfId="0" applyFont="1" applyBorder="1" applyAlignment="1">
      <alignment horizontal="left" wrapText="1"/>
    </xf>
    <xf numFmtId="0" fontId="5" fillId="0" borderId="7" xfId="0" applyFont="1" applyBorder="1" applyAlignment="1">
      <alignment horizontal="left" wrapText="1"/>
    </xf>
    <xf numFmtId="0" fontId="12" fillId="0" borderId="3" xfId="0" applyFont="1" applyBorder="1" applyAlignment="1">
      <alignment horizontal="left" vertical="center" indent="1"/>
    </xf>
    <xf numFmtId="0" fontId="12" fillId="0" borderId="2" xfId="0" applyFont="1" applyBorder="1" applyAlignment="1">
      <alignment horizontal="left" vertical="center" indent="1"/>
    </xf>
    <xf numFmtId="0" fontId="12" fillId="0" borderId="1" xfId="0" applyFont="1" applyBorder="1" applyAlignment="1">
      <alignment horizontal="left" vertical="center" indent="1"/>
    </xf>
    <xf numFmtId="0" fontId="8" fillId="0" borderId="10" xfId="0" applyFont="1" applyBorder="1" applyAlignment="1">
      <alignment horizontal="left" wrapText="1"/>
    </xf>
    <xf numFmtId="0" fontId="8" fillId="0" borderId="0" xfId="0" applyFont="1" applyAlignment="1">
      <alignment horizontal="left" wrapText="1"/>
    </xf>
    <xf numFmtId="0" fontId="8" fillId="0" borderId="15" xfId="0" applyFont="1" applyBorder="1" applyAlignment="1">
      <alignment horizontal="left" wrapText="1"/>
    </xf>
    <xf numFmtId="0" fontId="5" fillId="0" borderId="10" xfId="0" applyFont="1" applyBorder="1" applyAlignment="1">
      <alignment horizontal="left" wrapText="1"/>
    </xf>
    <xf numFmtId="0" fontId="5" fillId="0" borderId="0" xfId="0" applyFont="1" applyAlignment="1">
      <alignment horizontal="left" wrapText="1"/>
    </xf>
    <xf numFmtId="0" fontId="5" fillId="0" borderId="15" xfId="0" applyFont="1" applyBorder="1" applyAlignment="1">
      <alignment horizontal="left"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1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wrapText="1"/>
    </xf>
    <xf numFmtId="0" fontId="5" fillId="0" borderId="2" xfId="0" applyFont="1" applyBorder="1" applyAlignment="1">
      <alignment wrapText="1"/>
    </xf>
    <xf numFmtId="0" fontId="5" fillId="0" borderId="1" xfId="0" applyFont="1" applyBorder="1" applyAlignment="1">
      <alignment wrapText="1"/>
    </xf>
    <xf numFmtId="15" fontId="9" fillId="0" borderId="3" xfId="0" quotePrefix="1" applyNumberFormat="1" applyFont="1" applyBorder="1" applyAlignment="1">
      <alignment horizontal="center" vertical="center" wrapText="1"/>
    </xf>
    <xf numFmtId="0" fontId="9" fillId="0" borderId="1" xfId="0" applyFont="1" applyBorder="1" applyAlignment="1">
      <alignment horizontal="center" vertical="center" wrapText="1"/>
    </xf>
    <xf numFmtId="0" fontId="23" fillId="0" borderId="13" xfId="0" applyFont="1" applyBorder="1" applyAlignment="1">
      <alignment horizontal="left" vertical="center" wrapText="1"/>
    </xf>
    <xf numFmtId="0" fontId="23" fillId="0" borderId="12" xfId="0" applyFont="1" applyBorder="1" applyAlignment="1">
      <alignment horizontal="left" vertical="center" wrapText="1"/>
    </xf>
    <xf numFmtId="0" fontId="23" fillId="0" borderId="11" xfId="0" applyFont="1" applyBorder="1" applyAlignment="1">
      <alignment horizontal="left" vertical="center" wrapText="1"/>
    </xf>
    <xf numFmtId="0" fontId="23" fillId="0" borderId="9" xfId="0" applyFont="1" applyBorder="1" applyAlignment="1">
      <alignment horizontal="left"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wrapText="1"/>
    </xf>
    <xf numFmtId="0" fontId="18" fillId="0" borderId="6" xfId="0" applyFont="1" applyBorder="1" applyAlignment="1">
      <alignment horizontal="center"/>
    </xf>
    <xf numFmtId="0" fontId="12" fillId="0" borderId="0" xfId="0" applyFont="1" applyAlignment="1">
      <alignment horizontal="center" vertical="top" wrapText="1"/>
    </xf>
    <xf numFmtId="0" fontId="12" fillId="0" borderId="0" xfId="0" applyFont="1" applyAlignment="1">
      <alignment horizontal="center" vertical="top"/>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12" fillId="0" borderId="42" xfId="0" applyFont="1" applyBorder="1" applyAlignment="1">
      <alignment horizontal="center"/>
    </xf>
    <xf numFmtId="0" fontId="5" fillId="0" borderId="45" xfId="0" applyFont="1" applyBorder="1" applyAlignment="1">
      <alignment horizontal="center" wrapText="1"/>
    </xf>
    <xf numFmtId="0" fontId="5" fillId="0" borderId="44" xfId="0" applyFont="1" applyBorder="1" applyAlignment="1">
      <alignment horizontal="center" wrapText="1"/>
    </xf>
    <xf numFmtId="0" fontId="5" fillId="0" borderId="51" xfId="0" applyFont="1" applyBorder="1" applyAlignment="1">
      <alignment horizontal="center" wrapText="1"/>
    </xf>
    <xf numFmtId="0" fontId="5" fillId="0" borderId="45" xfId="0" applyFont="1" applyBorder="1" applyAlignment="1">
      <alignment horizontal="center"/>
    </xf>
    <xf numFmtId="0" fontId="5" fillId="0" borderId="44" xfId="0" applyFont="1" applyBorder="1" applyAlignment="1">
      <alignment horizontal="center"/>
    </xf>
    <xf numFmtId="0" fontId="5" fillId="0" borderId="46" xfId="0" applyFont="1" applyBorder="1" applyAlignment="1">
      <alignment horizontal="center"/>
    </xf>
    <xf numFmtId="0" fontId="5" fillId="0" borderId="3" xfId="0" applyFont="1" applyBorder="1" applyAlignment="1">
      <alignment horizontal="left" vertical="center" wrapText="1" indent="1"/>
    </xf>
    <xf numFmtId="0" fontId="5" fillId="0" borderId="2" xfId="0" applyFont="1" applyBorder="1" applyAlignment="1">
      <alignment horizontal="left" vertical="center" wrapText="1" indent="1"/>
    </xf>
    <xf numFmtId="0" fontId="5" fillId="0" borderId="42" xfId="0" applyFont="1" applyBorder="1" applyAlignment="1">
      <alignment horizontal="left" vertical="center" wrapText="1" indent="1"/>
    </xf>
    <xf numFmtId="0" fontId="5" fillId="0" borderId="42" xfId="0" applyFont="1" applyBorder="1" applyAlignment="1">
      <alignment horizontal="center"/>
    </xf>
    <xf numFmtId="0" fontId="12" fillId="0" borderId="10" xfId="0" applyFont="1" applyBorder="1" applyAlignment="1">
      <alignment horizontal="left" wrapText="1"/>
    </xf>
    <xf numFmtId="0" fontId="12" fillId="0" borderId="0" xfId="0" applyFont="1" applyAlignment="1">
      <alignment horizontal="left" wrapText="1"/>
    </xf>
    <xf numFmtId="0" fontId="12" fillId="0" borderId="15" xfId="0" applyFont="1" applyBorder="1" applyAlignment="1">
      <alignment horizontal="left" wrapText="1"/>
    </xf>
    <xf numFmtId="0" fontId="5" fillId="0" borderId="0" xfId="0" applyFont="1" applyAlignment="1">
      <alignment horizontal="left" vertical="top" wrapText="1"/>
    </xf>
    <xf numFmtId="0" fontId="8" fillId="0" borderId="9" xfId="0" applyFont="1" applyBorder="1" applyAlignment="1">
      <alignment horizontal="left" wrapText="1"/>
    </xf>
    <xf numFmtId="0" fontId="8" fillId="0" borderId="8" xfId="0" applyFont="1" applyBorder="1" applyAlignment="1">
      <alignment horizontal="left" wrapText="1"/>
    </xf>
    <xf numFmtId="0" fontId="19" fillId="0" borderId="10" xfId="0" applyFont="1" applyBorder="1" applyAlignment="1">
      <alignment horizontal="left" vertical="top" wrapText="1"/>
    </xf>
    <xf numFmtId="0" fontId="19" fillId="0" borderId="0" xfId="0" applyFont="1" applyAlignment="1">
      <alignment horizontal="left" vertical="top" wrapText="1"/>
    </xf>
    <xf numFmtId="0" fontId="19" fillId="0" borderId="15" xfId="0" applyFont="1" applyBorder="1" applyAlignment="1">
      <alignment horizontal="left" vertical="top" wrapText="1"/>
    </xf>
    <xf numFmtId="0" fontId="44" fillId="0" borderId="10" xfId="0" applyFont="1" applyBorder="1" applyAlignment="1">
      <alignment horizontal="left" vertical="center" wrapText="1"/>
    </xf>
    <xf numFmtId="0" fontId="44" fillId="0" borderId="0" xfId="0" applyFont="1" applyAlignment="1">
      <alignment horizontal="left" vertical="center" wrapText="1"/>
    </xf>
    <xf numFmtId="0" fontId="44" fillId="0" borderId="15" xfId="0" applyFont="1" applyBorder="1" applyAlignment="1">
      <alignment horizontal="left" vertical="center" wrapText="1"/>
    </xf>
    <xf numFmtId="0" fontId="0" fillId="0" borderId="0" xfId="0"/>
    <xf numFmtId="0" fontId="47" fillId="0" borderId="0" xfId="0" applyFont="1"/>
    <xf numFmtId="0" fontId="12" fillId="0" borderId="48" xfId="0" applyFont="1" applyBorder="1" applyAlignment="1">
      <alignment horizontal="center" vertical="top" wrapText="1"/>
    </xf>
    <xf numFmtId="0" fontId="12" fillId="0" borderId="2" xfId="0" applyFont="1" applyBorder="1" applyAlignment="1">
      <alignment horizontal="center" vertical="top"/>
    </xf>
    <xf numFmtId="0" fontId="12" fillId="0" borderId="42" xfId="0" applyFont="1" applyBorder="1" applyAlignment="1">
      <alignment horizontal="center" vertical="top"/>
    </xf>
    <xf numFmtId="0" fontId="12" fillId="0" borderId="48" xfId="0" applyFont="1" applyBorder="1" applyAlignment="1">
      <alignment horizontal="right"/>
    </xf>
    <xf numFmtId="0" fontId="12" fillId="0" borderId="42" xfId="0" applyFont="1" applyBorder="1" applyAlignment="1">
      <alignment horizontal="right"/>
    </xf>
    <xf numFmtId="0" fontId="5" fillId="0" borderId="42" xfId="0" applyFont="1" applyBorder="1" applyAlignment="1">
      <alignment horizontal="center" vertical="center" wrapText="1"/>
    </xf>
    <xf numFmtId="0" fontId="33" fillId="0" borderId="3" xfId="0" applyFont="1" applyBorder="1" applyAlignment="1">
      <alignment horizontal="left" vertical="center" wrapText="1"/>
    </xf>
    <xf numFmtId="0" fontId="33" fillId="0" borderId="1" xfId="0" applyFont="1" applyBorder="1" applyAlignment="1">
      <alignment horizontal="left" vertical="center" wrapText="1"/>
    </xf>
    <xf numFmtId="15" fontId="33" fillId="0" borderId="13" xfId="0" quotePrefix="1" applyNumberFormat="1" applyFont="1" applyBorder="1" applyAlignment="1">
      <alignment horizontal="center" vertical="center" wrapText="1"/>
    </xf>
    <xf numFmtId="0" fontId="33" fillId="0" borderId="11" xfId="0" applyFont="1" applyBorder="1" applyAlignment="1">
      <alignment horizontal="center" vertical="center" wrapText="1"/>
    </xf>
    <xf numFmtId="0" fontId="5" fillId="0" borderId="3" xfId="0" applyFont="1" applyBorder="1" applyAlignment="1">
      <alignment horizontal="left" vertical="center" indent="1"/>
    </xf>
    <xf numFmtId="0" fontId="5" fillId="0" borderId="2" xfId="0" applyFont="1" applyBorder="1" applyAlignment="1">
      <alignment horizontal="left" vertical="center" indent="1"/>
    </xf>
    <xf numFmtId="0" fontId="5" fillId="0" borderId="1" xfId="0" applyFont="1" applyBorder="1" applyAlignment="1">
      <alignment horizontal="left" vertical="center" indent="1"/>
    </xf>
    <xf numFmtId="0" fontId="19" fillId="2" borderId="10" xfId="0" applyFont="1" applyFill="1" applyBorder="1" applyAlignment="1">
      <alignment horizontal="left" wrapText="1"/>
    </xf>
    <xf numFmtId="0" fontId="19" fillId="2" borderId="0" xfId="0" applyFont="1" applyFill="1" applyAlignment="1">
      <alignment horizontal="left" wrapText="1"/>
    </xf>
    <xf numFmtId="0" fontId="19" fillId="2" borderId="15" xfId="0" applyFont="1" applyFill="1" applyBorder="1" applyAlignment="1">
      <alignment horizontal="left" wrapText="1"/>
    </xf>
    <xf numFmtId="0" fontId="23" fillId="0" borderId="10" xfId="0" applyFont="1" applyBorder="1" applyAlignment="1">
      <alignment horizontal="left" wrapText="1"/>
    </xf>
    <xf numFmtId="0" fontId="23" fillId="0" borderId="0" xfId="0" applyFont="1" applyAlignment="1">
      <alignment horizontal="left" wrapText="1"/>
    </xf>
    <xf numFmtId="0" fontId="19" fillId="0" borderId="10" xfId="0" applyFont="1" applyBorder="1" applyAlignment="1">
      <alignment horizontal="left" wrapText="1"/>
    </xf>
    <xf numFmtId="0" fontId="19" fillId="0" borderId="0" xfId="0" applyFont="1" applyAlignment="1">
      <alignment horizontal="left" wrapText="1"/>
    </xf>
    <xf numFmtId="0" fontId="19" fillId="0" borderId="15" xfId="0" applyFont="1" applyBorder="1" applyAlignment="1">
      <alignment horizontal="left" wrapText="1"/>
    </xf>
    <xf numFmtId="0" fontId="23" fillId="0" borderId="15" xfId="0" applyFont="1" applyBorder="1" applyAlignment="1">
      <alignment horizontal="left"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5" fillId="0" borderId="2" xfId="0" applyFont="1" applyBorder="1" applyAlignment="1">
      <alignment horizontal="center" vertical="top" wrapText="1"/>
    </xf>
    <xf numFmtId="0" fontId="9" fillId="2" borderId="1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2" fillId="0" borderId="2" xfId="0" applyFont="1" applyBorder="1" applyAlignment="1">
      <alignment horizontal="center" vertical="top" wrapText="1"/>
    </xf>
    <xf numFmtId="15" fontId="33" fillId="0" borderId="13" xfId="0" applyNumberFormat="1" applyFont="1" applyBorder="1" applyAlignment="1">
      <alignment horizontal="center" vertical="center" wrapText="1"/>
    </xf>
    <xf numFmtId="0" fontId="5" fillId="0" borderId="6" xfId="0" applyFont="1" applyBorder="1" applyAlignment="1">
      <alignment horizontal="right"/>
    </xf>
    <xf numFmtId="0" fontId="18" fillId="0" borderId="5" xfId="0" applyFont="1" applyBorder="1" applyAlignment="1">
      <alignment horizontal="center"/>
    </xf>
    <xf numFmtId="0" fontId="18" fillId="0" borderId="10" xfId="0" applyFont="1" applyBorder="1" applyAlignment="1">
      <alignment horizontal="center"/>
    </xf>
    <xf numFmtId="0" fontId="12" fillId="0" borderId="27" xfId="0" applyFont="1" applyBorder="1" applyAlignment="1">
      <alignment horizontal="center" vertical="top" wrapText="1"/>
    </xf>
    <xf numFmtId="0" fontId="33" fillId="0" borderId="13"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13" xfId="0" quotePrefix="1"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12" fillId="0" borderId="14" xfId="0" applyFont="1" applyBorder="1" applyAlignment="1">
      <alignment horizontal="center" wrapText="1"/>
    </xf>
    <xf numFmtId="15" fontId="2" fillId="0" borderId="3" xfId="2" quotePrefix="1" applyNumberFormat="1" applyFont="1" applyBorder="1" applyAlignment="1">
      <alignment horizontal="center" vertical="center" wrapText="1"/>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9" fillId="0" borderId="15" xfId="0" applyFont="1" applyBorder="1" applyAlignment="1">
      <alignment horizontal="left" vertical="center" wrapText="1"/>
    </xf>
    <xf numFmtId="0" fontId="9" fillId="0" borderId="0" xfId="0" applyFont="1" applyAlignment="1">
      <alignment horizontal="left" vertical="center"/>
    </xf>
    <xf numFmtId="0" fontId="9" fillId="0" borderId="15" xfId="0" applyFont="1" applyBorder="1" applyAlignment="1">
      <alignment horizontal="left" vertical="center"/>
    </xf>
    <xf numFmtId="0" fontId="9" fillId="0" borderId="10" xfId="0" applyFont="1" applyBorder="1" applyAlignment="1">
      <alignment horizontal="center" vertical="center"/>
    </xf>
    <xf numFmtId="0" fontId="9" fillId="0" borderId="0" xfId="0" applyFont="1" applyAlignment="1">
      <alignment horizontal="center" vertical="center"/>
    </xf>
    <xf numFmtId="0" fontId="9" fillId="0" borderId="15" xfId="0" applyFont="1" applyBorder="1" applyAlignment="1">
      <alignment horizontal="center" vertical="center"/>
    </xf>
    <xf numFmtId="0" fontId="10" fillId="0" borderId="10" xfId="0" applyFont="1" applyBorder="1" applyAlignment="1">
      <alignment horizontal="left" vertical="center"/>
    </xf>
    <xf numFmtId="0" fontId="10" fillId="0" borderId="0" xfId="0" applyFont="1" applyAlignment="1">
      <alignment horizontal="left" vertical="center"/>
    </xf>
    <xf numFmtId="0" fontId="10" fillId="0" borderId="15" xfId="0" applyFont="1" applyBorder="1" applyAlignment="1">
      <alignment horizontal="left" vertical="center"/>
    </xf>
    <xf numFmtId="15" fontId="5" fillId="0" borderId="3" xfId="2" quotePrefix="1" applyNumberFormat="1" applyFont="1" applyBorder="1" applyAlignment="1">
      <alignment horizontal="center" vertical="center" wrapText="1"/>
    </xf>
    <xf numFmtId="0" fontId="23" fillId="0" borderId="10" xfId="0" applyFont="1" applyBorder="1" applyAlignment="1">
      <alignment horizontal="left" vertical="center" wrapText="1"/>
    </xf>
    <xf numFmtId="0" fontId="23" fillId="0" borderId="0" xfId="0" applyFont="1" applyAlignment="1">
      <alignment horizontal="left" vertical="center" wrapText="1"/>
    </xf>
    <xf numFmtId="0" fontId="23" fillId="0" borderId="15" xfId="0" applyFont="1" applyBorder="1" applyAlignment="1">
      <alignment horizontal="left" vertical="center" wrapText="1"/>
    </xf>
    <xf numFmtId="0" fontId="24" fillId="0" borderId="3" xfId="0" applyFont="1" applyBorder="1" applyAlignment="1">
      <alignment horizontal="left" vertical="center" wrapText="1"/>
    </xf>
    <xf numFmtId="0" fontId="24" fillId="0" borderId="1" xfId="0" applyFont="1" applyBorder="1" applyAlignment="1">
      <alignment horizontal="left" vertical="center" wrapText="1"/>
    </xf>
    <xf numFmtId="15" fontId="25" fillId="0" borderId="3" xfId="2" applyNumberFormat="1" applyBorder="1" applyAlignment="1">
      <alignment horizontal="center" vertical="center" wrapText="1"/>
    </xf>
    <xf numFmtId="0" fontId="10" fillId="0" borderId="1" xfId="0" applyFont="1" applyBorder="1" applyAlignment="1">
      <alignment horizontal="center" vertical="center" wrapText="1"/>
    </xf>
    <xf numFmtId="0" fontId="33" fillId="0" borderId="10" xfId="0" applyFont="1" applyBorder="1" applyAlignment="1">
      <alignment horizontal="left" vertical="center"/>
    </xf>
    <xf numFmtId="0" fontId="33" fillId="0" borderId="0" xfId="0" applyFont="1" applyAlignment="1">
      <alignment horizontal="left" vertical="center"/>
    </xf>
    <xf numFmtId="0" fontId="10" fillId="0" borderId="3" xfId="0" applyFont="1" applyBorder="1" applyAlignment="1">
      <alignment horizontal="center" vertical="center" wrapText="1"/>
    </xf>
    <xf numFmtId="0" fontId="12" fillId="0" borderId="14" xfId="0" applyFont="1" applyBorder="1" applyAlignment="1">
      <alignment horizontal="right"/>
    </xf>
    <xf numFmtId="0" fontId="5" fillId="0" borderId="14"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0" xfId="0" applyFont="1" applyAlignment="1">
      <alignment horizontal="center" vertical="center" wrapText="1"/>
    </xf>
    <xf numFmtId="0" fontId="9" fillId="0" borderId="15" xfId="0" applyFont="1" applyBorder="1" applyAlignment="1">
      <alignment horizontal="center" vertical="center" wrapText="1"/>
    </xf>
    <xf numFmtId="0" fontId="31" fillId="0" borderId="10" xfId="0" applyFont="1" applyBorder="1" applyAlignment="1">
      <alignment horizontal="left" wrapText="1"/>
    </xf>
    <xf numFmtId="0" fontId="31" fillId="0" borderId="0" xfId="0" applyFont="1" applyAlignment="1">
      <alignment horizontal="left" wrapText="1"/>
    </xf>
    <xf numFmtId="0" fontId="31" fillId="0" borderId="15" xfId="0" applyFont="1" applyBorder="1" applyAlignment="1">
      <alignment horizontal="left" wrapText="1"/>
    </xf>
    <xf numFmtId="0" fontId="5" fillId="0" borderId="3" xfId="0" applyFont="1" applyBorder="1" applyAlignment="1">
      <alignment horizontal="left" vertical="top"/>
    </xf>
    <xf numFmtId="0" fontId="5" fillId="0" borderId="2" xfId="0" applyFont="1" applyBorder="1" applyAlignment="1">
      <alignment horizontal="left" vertical="top"/>
    </xf>
    <xf numFmtId="0" fontId="5" fillId="0" borderId="1" xfId="0" applyFont="1" applyBorder="1" applyAlignment="1">
      <alignment horizontal="left" vertical="top"/>
    </xf>
    <xf numFmtId="0" fontId="12" fillId="0" borderId="3" xfId="0" applyFont="1" applyBorder="1" applyAlignment="1">
      <alignment horizontal="left"/>
    </xf>
    <xf numFmtId="0" fontId="12" fillId="0" borderId="2" xfId="0" applyFont="1" applyBorder="1" applyAlignment="1">
      <alignment horizontal="left"/>
    </xf>
    <xf numFmtId="0" fontId="12" fillId="0" borderId="1" xfId="0" applyFont="1" applyBorder="1" applyAlignment="1">
      <alignment horizontal="left"/>
    </xf>
    <xf numFmtId="0" fontId="18" fillId="0" borderId="13" xfId="0" applyFont="1" applyBorder="1" applyAlignment="1">
      <alignment horizontal="center"/>
    </xf>
    <xf numFmtId="0" fontId="18" fillId="0" borderId="12" xfId="0" applyFont="1" applyBorder="1" applyAlignment="1">
      <alignment horizontal="center"/>
    </xf>
    <xf numFmtId="0" fontId="18" fillId="0" borderId="11" xfId="0" applyFont="1" applyBorder="1" applyAlignment="1">
      <alignment horizontal="center"/>
    </xf>
    <xf numFmtId="0" fontId="12" fillId="0" borderId="10" xfId="0" applyFont="1" applyBorder="1" applyAlignment="1">
      <alignment horizontal="center" vertical="top" wrapText="1"/>
    </xf>
    <xf numFmtId="0" fontId="12" fillId="0" borderId="15" xfId="0" applyFont="1" applyBorder="1" applyAlignment="1">
      <alignment horizontal="center" vertical="top"/>
    </xf>
    <xf numFmtId="0" fontId="12" fillId="0" borderId="15" xfId="0" applyFont="1" applyBorder="1" applyAlignment="1">
      <alignment horizontal="center" vertical="top" wrapText="1"/>
    </xf>
    <xf numFmtId="0" fontId="5" fillId="0" borderId="10" xfId="0" applyFont="1" applyBorder="1" applyAlignment="1">
      <alignment horizontal="center" vertical="top" wrapText="1"/>
    </xf>
    <xf numFmtId="0" fontId="5" fillId="0" borderId="15" xfId="0" applyFont="1" applyBorder="1" applyAlignment="1">
      <alignment horizontal="center" vertical="top" wrapText="1"/>
    </xf>
    <xf numFmtId="0" fontId="12" fillId="0" borderId="29" xfId="0" applyFont="1" applyBorder="1" applyAlignment="1">
      <alignment horizontal="right"/>
    </xf>
    <xf numFmtId="0" fontId="12" fillId="0" borderId="8" xfId="0" applyFont="1" applyBorder="1" applyAlignment="1">
      <alignment horizontal="right"/>
    </xf>
    <xf numFmtId="0" fontId="12" fillId="0" borderId="30" xfId="0" applyFont="1" applyBorder="1" applyAlignment="1">
      <alignment horizontal="right"/>
    </xf>
    <xf numFmtId="15" fontId="24" fillId="0" borderId="3" xfId="2" quotePrefix="1" applyNumberFormat="1" applyFont="1" applyBorder="1" applyAlignment="1">
      <alignment horizontal="center" vertical="center" wrapText="1"/>
    </xf>
    <xf numFmtId="0" fontId="33" fillId="0" borderId="15" xfId="0" applyFont="1" applyBorder="1" applyAlignment="1">
      <alignment horizontal="left" vertical="center"/>
    </xf>
    <xf numFmtId="0" fontId="5" fillId="0" borderId="0" xfId="0" applyFont="1" applyAlignment="1">
      <alignment horizontal="left"/>
    </xf>
    <xf numFmtId="0" fontId="5" fillId="0" borderId="15" xfId="0" applyFont="1" applyBorder="1" applyAlignment="1">
      <alignment horizontal="left"/>
    </xf>
    <xf numFmtId="0" fontId="12" fillId="0" borderId="23" xfId="0" applyFont="1" applyBorder="1" applyAlignment="1">
      <alignment horizontal="right"/>
    </xf>
    <xf numFmtId="0" fontId="12" fillId="0" borderId="24" xfId="0" applyFont="1" applyBorder="1" applyAlignment="1">
      <alignment horizontal="right"/>
    </xf>
    <xf numFmtId="0" fontId="5" fillId="0" borderId="24" xfId="0" applyFont="1" applyBorder="1" applyAlignment="1">
      <alignment horizontal="center" vertical="center" wrapText="1"/>
    </xf>
    <xf numFmtId="0" fontId="9" fillId="2" borderId="14" xfId="0" applyFont="1" applyFill="1" applyBorder="1" applyAlignment="1">
      <alignment horizontal="center" vertical="center" wrapText="1"/>
    </xf>
    <xf numFmtId="0" fontId="5" fillId="2" borderId="10" xfId="0" applyFont="1" applyFill="1" applyBorder="1" applyAlignment="1">
      <alignment horizontal="left" wrapText="1"/>
    </xf>
    <xf numFmtId="0" fontId="5" fillId="2" borderId="0" xfId="0" applyFont="1" applyFill="1" applyAlignment="1">
      <alignment horizontal="left" wrapText="1"/>
    </xf>
    <xf numFmtId="0" fontId="5" fillId="2" borderId="10" xfId="0" applyFont="1" applyFill="1" applyBorder="1" applyAlignment="1">
      <alignment horizontal="center" wrapText="1"/>
    </xf>
    <xf numFmtId="0" fontId="5" fillId="2" borderId="0" xfId="0" applyFont="1" applyFill="1" applyAlignment="1">
      <alignment horizontal="center" wrapText="1"/>
    </xf>
    <xf numFmtId="0" fontId="5" fillId="2" borderId="15" xfId="0" applyFont="1" applyFill="1" applyBorder="1" applyAlignment="1">
      <alignment horizontal="center" wrapText="1"/>
    </xf>
    <xf numFmtId="0" fontId="5" fillId="2" borderId="15" xfId="0" applyFont="1" applyFill="1" applyBorder="1" applyAlignment="1">
      <alignment horizontal="left" wrapText="1"/>
    </xf>
    <xf numFmtId="0" fontId="5" fillId="0" borderId="10" xfId="0" applyFont="1" applyBorder="1" applyAlignment="1">
      <alignment horizontal="center" wrapText="1"/>
    </xf>
    <xf numFmtId="0" fontId="5" fillId="0" borderId="0" xfId="0" applyFont="1" applyAlignment="1">
      <alignment horizontal="center" wrapText="1"/>
    </xf>
    <xf numFmtId="0" fontId="5" fillId="0" borderId="15" xfId="0" applyFont="1" applyBorder="1" applyAlignment="1">
      <alignment horizontal="center" wrapText="1"/>
    </xf>
    <xf numFmtId="0" fontId="5" fillId="0" borderId="1" xfId="0" applyFont="1" applyBorder="1" applyAlignment="1">
      <alignment horizontal="left" vertical="center" wrapText="1" indent="1"/>
    </xf>
    <xf numFmtId="0" fontId="18" fillId="0" borderId="23" xfId="0" applyFont="1" applyBorder="1" applyAlignment="1">
      <alignment horizontal="center"/>
    </xf>
    <xf numFmtId="0" fontId="18" fillId="0" borderId="24" xfId="0" applyFont="1" applyBorder="1" applyAlignment="1">
      <alignment horizontal="center"/>
    </xf>
    <xf numFmtId="0" fontId="5" fillId="0" borderId="14" xfId="0" applyFont="1" applyBorder="1" applyAlignment="1">
      <alignment horizontal="left" vertical="center" indent="1"/>
    </xf>
    <xf numFmtId="0" fontId="5" fillId="0" borderId="0" xfId="0" quotePrefix="1" applyFont="1" applyAlignment="1">
      <alignment horizontal="left" wrapText="1"/>
    </xf>
    <xf numFmtId="0" fontId="5" fillId="0" borderId="0" xfId="0" quotePrefix="1" applyFont="1" applyAlignment="1">
      <alignment horizontal="left" vertical="top" wrapText="1"/>
    </xf>
    <xf numFmtId="0" fontId="12" fillId="0" borderId="10" xfId="0" applyFont="1" applyBorder="1" applyAlignment="1">
      <alignment horizontal="left" vertical="top" wrapText="1"/>
    </xf>
    <xf numFmtId="0" fontId="12" fillId="0" borderId="0" xfId="0" applyFont="1" applyAlignment="1">
      <alignment horizontal="left" vertical="top" wrapText="1"/>
    </xf>
    <xf numFmtId="0" fontId="41" fillId="0" borderId="12"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3" xfId="0" applyFont="1" applyBorder="1" applyAlignment="1">
      <alignment horizontal="center" vertical="top" wrapText="1"/>
    </xf>
    <xf numFmtId="0" fontId="12" fillId="0" borderId="1" xfId="0" applyFont="1" applyBorder="1" applyAlignment="1">
      <alignment horizontal="center" vertical="top"/>
    </xf>
    <xf numFmtId="0" fontId="25" fillId="0" borderId="3" xfId="2" applyBorder="1" applyAlignment="1">
      <alignment horizontal="left" vertical="center" wrapText="1"/>
    </xf>
    <xf numFmtId="0" fontId="10" fillId="0" borderId="1" xfId="0" applyFont="1" applyBorder="1" applyAlignment="1">
      <alignment horizontal="left" vertical="center" wrapText="1"/>
    </xf>
    <xf numFmtId="0" fontId="10" fillId="0" borderId="2" xfId="0" applyFont="1" applyBorder="1" applyAlignment="1">
      <alignment horizontal="center" vertical="center" wrapText="1"/>
    </xf>
    <xf numFmtId="15" fontId="24" fillId="0" borderId="3"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24" fillId="0" borderId="12" xfId="0" applyFont="1" applyBorder="1" applyAlignment="1">
      <alignment horizontal="left" vertical="center" wrapText="1"/>
    </xf>
    <xf numFmtId="0" fontId="10" fillId="0" borderId="3" xfId="0" applyFont="1" applyBorder="1" applyAlignment="1">
      <alignment horizontal="left" vertical="center" wrapText="1"/>
    </xf>
    <xf numFmtId="15" fontId="24" fillId="0" borderId="13" xfId="0" applyNumberFormat="1" applyFont="1" applyBorder="1" applyAlignment="1">
      <alignment horizontal="center" vertical="center" wrapText="1"/>
    </xf>
    <xf numFmtId="15" fontId="24" fillId="0" borderId="11" xfId="0" applyNumberFormat="1" applyFont="1" applyBorder="1" applyAlignment="1">
      <alignment horizontal="center" vertical="center" wrapText="1"/>
    </xf>
    <xf numFmtId="15" fontId="24" fillId="0" borderId="9" xfId="0" applyNumberFormat="1" applyFont="1" applyBorder="1" applyAlignment="1">
      <alignment horizontal="center" vertical="center" wrapText="1"/>
    </xf>
    <xf numFmtId="15" fontId="24" fillId="0" borderId="7" xfId="0" applyNumberFormat="1" applyFont="1" applyBorder="1" applyAlignment="1">
      <alignment horizontal="center" vertical="center" wrapText="1"/>
    </xf>
    <xf numFmtId="15" fontId="24" fillId="0" borderId="1" xfId="0" applyNumberFormat="1" applyFont="1" applyBorder="1" applyAlignment="1">
      <alignment horizontal="center" vertical="center" wrapText="1"/>
    </xf>
    <xf numFmtId="15" fontId="10" fillId="0" borderId="13" xfId="0" applyNumberFormat="1"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9" fillId="0" borderId="10" xfId="0" applyFont="1" applyBorder="1" applyAlignment="1">
      <alignment horizontal="left" vertical="center"/>
    </xf>
    <xf numFmtId="0" fontId="10" fillId="0" borderId="13" xfId="0" applyFont="1" applyBorder="1" applyAlignment="1">
      <alignment horizontal="left" vertical="center"/>
    </xf>
    <xf numFmtId="0" fontId="10" fillId="0" borderId="12" xfId="0" applyFont="1" applyBorder="1" applyAlignment="1">
      <alignment horizontal="left" vertical="center"/>
    </xf>
    <xf numFmtId="0" fontId="5" fillId="0" borderId="3" xfId="0" applyFont="1" applyBorder="1" applyAlignment="1">
      <alignment horizontal="left" wrapText="1" indent="1"/>
    </xf>
    <xf numFmtId="0" fontId="5" fillId="0" borderId="2" xfId="0" applyFont="1" applyBorder="1" applyAlignment="1">
      <alignment horizontal="left" wrapText="1" indent="1"/>
    </xf>
    <xf numFmtId="0" fontId="5" fillId="0" borderId="1" xfId="0" applyFont="1" applyBorder="1" applyAlignment="1">
      <alignment horizontal="left" wrapText="1" indent="1"/>
    </xf>
    <xf numFmtId="0" fontId="20" fillId="0" borderId="10" xfId="0" applyFont="1" applyBorder="1" applyAlignment="1">
      <alignment horizontal="left" vertical="center"/>
    </xf>
    <xf numFmtId="0" fontId="20" fillId="0" borderId="0" xfId="0" applyFont="1" applyAlignment="1">
      <alignment horizontal="left" vertical="center"/>
    </xf>
    <xf numFmtId="0" fontId="20" fillId="0" borderId="15" xfId="0" applyFont="1" applyBorder="1" applyAlignment="1">
      <alignment horizontal="left" vertical="center"/>
    </xf>
    <xf numFmtId="0" fontId="5" fillId="0" borderId="31" xfId="0" applyFont="1" applyBorder="1" applyAlignment="1">
      <alignment horizontal="center" vertical="center" wrapText="1"/>
    </xf>
    <xf numFmtId="0" fontId="18" fillId="0" borderId="20"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center"/>
    </xf>
    <xf numFmtId="0" fontId="5" fillId="0" borderId="23" xfId="0" applyFont="1" applyBorder="1" applyAlignment="1">
      <alignment horizontal="center" wrapText="1"/>
    </xf>
    <xf numFmtId="0" fontId="14" fillId="0" borderId="24" xfId="0"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horizontal="center"/>
    </xf>
    <xf numFmtId="0" fontId="12" fillId="0" borderId="2" xfId="0" applyFont="1" applyBorder="1" applyAlignment="1">
      <alignment wrapText="1"/>
    </xf>
    <xf numFmtId="0" fontId="5" fillId="0" borderId="42" xfId="0" applyFont="1" applyBorder="1" applyAlignment="1">
      <alignment wrapText="1"/>
    </xf>
    <xf numFmtId="0" fontId="12" fillId="0" borderId="26" xfId="0" applyFont="1" applyBorder="1" applyAlignment="1">
      <alignment horizontal="center"/>
    </xf>
    <xf numFmtId="0" fontId="12" fillId="0" borderId="30" xfId="0" applyFont="1" applyBorder="1" applyAlignment="1">
      <alignment horizontal="center"/>
    </xf>
    <xf numFmtId="0" fontId="24" fillId="4" borderId="52" xfId="0" applyFont="1" applyFill="1" applyBorder="1" applyAlignment="1">
      <alignment horizontal="left" vertical="top" wrapText="1"/>
    </xf>
    <xf numFmtId="0" fontId="24" fillId="4" borderId="53" xfId="0" applyFont="1" applyFill="1" applyBorder="1" applyAlignment="1">
      <alignment horizontal="left" vertical="top" wrapText="1"/>
    </xf>
    <xf numFmtId="0" fontId="10" fillId="0" borderId="13" xfId="0" applyFont="1" applyBorder="1" applyAlignment="1">
      <alignment horizontal="center" vertical="center" wrapText="1"/>
    </xf>
    <xf numFmtId="0" fontId="24" fillId="0" borderId="54" xfId="0" applyFont="1" applyBorder="1" applyAlignment="1">
      <alignment horizontal="left" vertical="center" wrapText="1"/>
    </xf>
    <xf numFmtId="0" fontId="24" fillId="0" borderId="55" xfId="0" applyFont="1" applyBorder="1" applyAlignment="1">
      <alignment horizontal="left" vertical="center" wrapText="1"/>
    </xf>
    <xf numFmtId="0" fontId="24" fillId="0" borderId="56" xfId="0" applyFont="1" applyBorder="1" applyAlignment="1">
      <alignment horizontal="left" vertical="top" wrapText="1"/>
    </xf>
    <xf numFmtId="0" fontId="24" fillId="0" borderId="57" xfId="0" applyFont="1" applyBorder="1" applyAlignment="1">
      <alignment horizontal="left"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mailto:Globe@500" TargetMode="External"/><Relationship Id="rId1" Type="http://schemas.openxmlformats.org/officeDocument/2006/relationships/hyperlink" Target="mailto:Globe@500"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mailto:2/15/2023@9:00AM"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mailto:2/15/2023@9:00AM"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mailto:2/15/2023@9:00AM"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47EC-5804-4BB7-8997-C469D5199A9C}">
  <sheetPr>
    <tabColor theme="9"/>
    <pageSetUpPr fitToPage="1"/>
  </sheetPr>
  <dimension ref="B1:L40"/>
  <sheetViews>
    <sheetView view="pageBreakPreview" topLeftCell="A4" zoomScale="85" zoomScaleNormal="100" zoomScaleSheetLayoutView="85" workbookViewId="0">
      <selection activeCell="C24" sqref="C24:G24"/>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3.5703125" style="41" customWidth="1"/>
    <col min="11" max="11" width="5.140625" style="1" customWidth="1"/>
    <col min="12" max="12" width="19.7109375" style="1" customWidth="1"/>
    <col min="13" max="13" width="5.7109375" style="1" customWidth="1"/>
    <col min="14" max="16384" width="8.85546875" style="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6.6" customHeight="1" x14ac:dyDescent="0.4">
      <c r="B3" s="424" t="s">
        <v>470</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553</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 x14ac:dyDescent="0.25">
      <c r="B8" s="142" t="s">
        <v>29</v>
      </c>
      <c r="C8" s="428" t="s">
        <v>19</v>
      </c>
      <c r="D8" s="462"/>
      <c r="E8" s="462"/>
      <c r="F8" s="462"/>
      <c r="G8" s="429"/>
      <c r="H8" s="143" t="s">
        <v>21</v>
      </c>
      <c r="I8" s="33" t="s">
        <v>20</v>
      </c>
      <c r="J8" s="399"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463" t="s">
        <v>554</v>
      </c>
      <c r="D11" s="464"/>
      <c r="E11" s="464"/>
      <c r="F11" s="464"/>
      <c r="G11" s="465"/>
      <c r="H11" s="103"/>
      <c r="I11" s="11"/>
      <c r="J11" s="52"/>
      <c r="L11" s="53"/>
    </row>
    <row r="12" spans="2:12" ht="23.45" customHeight="1" x14ac:dyDescent="0.25">
      <c r="B12" s="100"/>
      <c r="C12" s="466"/>
      <c r="D12" s="467"/>
      <c r="E12" s="467"/>
      <c r="F12" s="467"/>
      <c r="G12" s="468"/>
      <c r="H12" s="103"/>
      <c r="I12" s="11"/>
      <c r="J12" s="52"/>
      <c r="L12" s="53"/>
    </row>
    <row r="13" spans="2:12" x14ac:dyDescent="0.25">
      <c r="B13" s="100"/>
      <c r="C13" s="60" t="s">
        <v>21</v>
      </c>
      <c r="D13" s="469" t="s">
        <v>41</v>
      </c>
      <c r="E13" s="469"/>
      <c r="F13" s="469" t="s">
        <v>42</v>
      </c>
      <c r="G13" s="469"/>
      <c r="H13" s="129"/>
      <c r="I13" s="11"/>
      <c r="J13" s="52"/>
      <c r="K13" s="59"/>
      <c r="L13" s="53"/>
    </row>
    <row r="14" spans="2:12" ht="118.9" customHeight="1" x14ac:dyDescent="0.25">
      <c r="B14" s="100"/>
      <c r="C14" s="70">
        <v>320</v>
      </c>
      <c r="D14" s="470" t="s">
        <v>557</v>
      </c>
      <c r="E14" s="471"/>
      <c r="F14" s="472" t="s">
        <v>555</v>
      </c>
      <c r="G14" s="473"/>
      <c r="H14" s="129">
        <v>1</v>
      </c>
      <c r="I14" s="396" t="s">
        <v>46</v>
      </c>
      <c r="J14" s="397">
        <v>34200</v>
      </c>
      <c r="K14" s="392"/>
      <c r="L14" s="398">
        <f>H14*J14</f>
        <v>34200</v>
      </c>
    </row>
    <row r="15" spans="2:12" x14ac:dyDescent="0.25">
      <c r="B15" s="100"/>
      <c r="C15" s="382"/>
      <c r="D15" s="383"/>
      <c r="E15" s="383"/>
      <c r="F15" s="384"/>
      <c r="G15" s="381"/>
      <c r="H15" s="154"/>
      <c r="I15" s="377"/>
      <c r="J15" s="378"/>
      <c r="K15" s="379"/>
      <c r="L15" s="380"/>
    </row>
    <row r="16" spans="2:12" x14ac:dyDescent="0.25">
      <c r="B16" s="100"/>
      <c r="C16" s="56" t="s">
        <v>40</v>
      </c>
      <c r="D16" s="218"/>
      <c r="E16" s="218"/>
      <c r="F16" s="221"/>
      <c r="G16" s="135"/>
      <c r="H16" s="135"/>
      <c r="I16" s="78"/>
      <c r="J16" s="113"/>
      <c r="K16" s="89"/>
      <c r="L16" s="119"/>
    </row>
    <row r="17" spans="2:12" x14ac:dyDescent="0.25">
      <c r="B17" s="100"/>
      <c r="C17" s="460" t="s">
        <v>556</v>
      </c>
      <c r="D17" s="461"/>
      <c r="E17" s="461"/>
      <c r="F17" s="221"/>
      <c r="G17" s="135"/>
      <c r="H17" s="135"/>
      <c r="I17" s="78"/>
      <c r="J17" s="113"/>
      <c r="K17" s="89"/>
      <c r="L17" s="119"/>
    </row>
    <row r="18" spans="2:12" ht="82.15" customHeight="1" x14ac:dyDescent="0.25">
      <c r="B18" s="100"/>
      <c r="C18" s="460"/>
      <c r="D18" s="461"/>
      <c r="E18" s="461"/>
      <c r="F18" s="221"/>
      <c r="G18" s="135"/>
      <c r="H18" s="135"/>
      <c r="I18" s="78"/>
      <c r="J18" s="113"/>
      <c r="K18" s="89"/>
      <c r="L18" s="119"/>
    </row>
    <row r="19" spans="2:12" ht="27.75" customHeight="1" x14ac:dyDescent="0.25">
      <c r="B19" s="100"/>
      <c r="C19" s="388"/>
      <c r="D19" s="395"/>
      <c r="E19" s="395"/>
      <c r="F19" s="221"/>
      <c r="G19" s="135"/>
      <c r="H19" s="135"/>
      <c r="I19" s="78"/>
      <c r="J19" s="113"/>
      <c r="K19" s="89"/>
      <c r="L19" s="119"/>
    </row>
    <row r="20" spans="2:12" x14ac:dyDescent="0.25">
      <c r="B20" s="100"/>
      <c r="C20" s="394"/>
      <c r="D20" s="218"/>
      <c r="E20" s="218"/>
      <c r="F20" s="221"/>
      <c r="G20" s="135"/>
      <c r="H20" s="135"/>
      <c r="I20" s="78"/>
      <c r="J20" s="113"/>
      <c r="K20" s="89"/>
      <c r="L20" s="119"/>
    </row>
    <row r="21" spans="2:12" x14ac:dyDescent="0.25">
      <c r="B21" s="100"/>
      <c r="C21" s="96" t="s">
        <v>33</v>
      </c>
      <c r="D21" s="107"/>
      <c r="E21" s="107"/>
      <c r="F21" s="108"/>
      <c r="G21" s="112"/>
      <c r="H21" s="129"/>
      <c r="I21" s="62"/>
      <c r="J21" s="63"/>
      <c r="K21" s="59"/>
      <c r="L21" s="53"/>
    </row>
    <row r="22" spans="2:12" x14ac:dyDescent="0.25">
      <c r="B22" s="100"/>
      <c r="C22" s="95" t="s">
        <v>34</v>
      </c>
      <c r="D22" s="107"/>
      <c r="E22" s="107"/>
      <c r="F22" s="108"/>
      <c r="G22" s="112"/>
      <c r="H22" s="129"/>
      <c r="I22" s="62"/>
      <c r="J22" s="63"/>
      <c r="K22" s="59"/>
      <c r="L22" s="53"/>
    </row>
    <row r="23" spans="2:12" x14ac:dyDescent="0.25">
      <c r="B23" s="100"/>
      <c r="C23" s="95" t="s">
        <v>35</v>
      </c>
      <c r="D23" s="107"/>
      <c r="E23" s="107"/>
      <c r="F23" s="108"/>
      <c r="G23" s="112"/>
      <c r="H23" s="129"/>
      <c r="I23" s="62"/>
      <c r="J23" s="63"/>
      <c r="K23" s="59"/>
      <c r="L23" s="53"/>
    </row>
    <row r="24" spans="2:12" ht="50.25" customHeight="1" x14ac:dyDescent="0.25">
      <c r="B24" s="100"/>
      <c r="C24" s="436" t="s">
        <v>560</v>
      </c>
      <c r="D24" s="474"/>
      <c r="E24" s="474"/>
      <c r="F24" s="474"/>
      <c r="G24" s="437"/>
      <c r="H24" s="129"/>
      <c r="I24" s="62"/>
      <c r="J24" s="63"/>
      <c r="K24" s="59"/>
      <c r="L24" s="53"/>
    </row>
    <row r="25" spans="2:12" x14ac:dyDescent="0.25">
      <c r="B25" s="100"/>
      <c r="C25" s="95"/>
      <c r="D25" s="107"/>
      <c r="E25" s="107"/>
      <c r="F25" s="108"/>
      <c r="G25" s="112"/>
      <c r="H25" s="129"/>
      <c r="I25" s="62"/>
      <c r="J25" s="63"/>
      <c r="K25" s="59"/>
      <c r="L25" s="53"/>
    </row>
    <row r="26" spans="2:12" x14ac:dyDescent="0.25">
      <c r="B26" s="100"/>
      <c r="C26" s="96" t="s">
        <v>561</v>
      </c>
      <c r="D26" s="107"/>
      <c r="E26" s="107"/>
      <c r="F26" s="108"/>
      <c r="G26" s="112"/>
      <c r="H26" s="129"/>
      <c r="I26" s="62"/>
      <c r="J26" s="63"/>
      <c r="K26" s="59"/>
      <c r="L26" s="53"/>
    </row>
    <row r="27" spans="2:12" x14ac:dyDescent="0.25">
      <c r="B27" s="100"/>
      <c r="C27" s="95" t="s">
        <v>37</v>
      </c>
      <c r="D27" s="109"/>
      <c r="E27" s="109"/>
      <c r="F27" s="109"/>
      <c r="G27" s="110"/>
      <c r="H27" s="110"/>
      <c r="I27" s="11"/>
      <c r="J27" s="52"/>
      <c r="L27" s="53"/>
    </row>
    <row r="28" spans="2:12" x14ac:dyDescent="0.25">
      <c r="B28" s="100"/>
      <c r="C28" s="95" t="s">
        <v>44</v>
      </c>
      <c r="D28" s="251"/>
      <c r="E28" s="251"/>
      <c r="F28" s="251"/>
      <c r="G28" s="116"/>
      <c r="H28" s="251"/>
      <c r="I28" s="11"/>
      <c r="J28" s="52"/>
      <c r="L28" s="53"/>
    </row>
    <row r="29" spans="2:12" x14ac:dyDescent="0.25">
      <c r="B29" s="100"/>
      <c r="C29" s="95" t="s">
        <v>517</v>
      </c>
      <c r="D29" s="251"/>
      <c r="E29" s="251"/>
      <c r="F29" s="251"/>
      <c r="G29" s="116"/>
      <c r="H29" s="251"/>
      <c r="I29" s="11"/>
      <c r="J29" s="52"/>
      <c r="L29" s="53"/>
    </row>
    <row r="30" spans="2:12" x14ac:dyDescent="0.25">
      <c r="B30" s="100"/>
      <c r="C30" s="95"/>
      <c r="D30" s="109"/>
      <c r="E30" s="109"/>
      <c r="F30" s="109"/>
      <c r="G30" s="110"/>
      <c r="H30" s="110"/>
      <c r="I30" s="11"/>
      <c r="J30" s="52"/>
      <c r="L30" s="53"/>
    </row>
    <row r="31" spans="2:12" x14ac:dyDescent="0.25">
      <c r="B31" s="100"/>
      <c r="C31" s="387" t="s">
        <v>8</v>
      </c>
      <c r="D31" s="104"/>
      <c r="E31" s="104"/>
      <c r="F31" s="104"/>
      <c r="G31" s="105"/>
      <c r="H31" s="105"/>
      <c r="I31" s="11"/>
      <c r="J31" s="113"/>
      <c r="K31" s="24"/>
      <c r="L31" s="53"/>
    </row>
    <row r="32" spans="2:12" x14ac:dyDescent="0.25">
      <c r="B32" s="100"/>
      <c r="C32" s="54" t="s">
        <v>38</v>
      </c>
      <c r="D32" s="102"/>
      <c r="E32" s="102"/>
      <c r="F32" s="102"/>
      <c r="G32" s="103"/>
      <c r="H32" s="103"/>
      <c r="I32" s="11"/>
      <c r="J32" s="113"/>
      <c r="K32" s="24"/>
      <c r="L32" s="53"/>
    </row>
    <row r="33" spans="2:12" x14ac:dyDescent="0.25">
      <c r="B33" s="100"/>
      <c r="C33" s="54"/>
      <c r="D33" s="102"/>
      <c r="E33" s="102"/>
      <c r="F33" s="102"/>
      <c r="G33" s="103"/>
      <c r="H33" s="103"/>
      <c r="I33" s="11"/>
      <c r="J33" s="113"/>
      <c r="K33" s="24"/>
      <c r="L33" s="53"/>
    </row>
    <row r="34" spans="2:12" ht="30.6" customHeight="1" x14ac:dyDescent="0.25">
      <c r="B34" s="101"/>
      <c r="C34" s="475" t="s">
        <v>552</v>
      </c>
      <c r="D34" s="476"/>
      <c r="E34" s="476"/>
      <c r="F34" s="476"/>
      <c r="G34" s="386"/>
      <c r="H34" s="111"/>
      <c r="I34" s="10"/>
      <c r="J34" s="114" t="s">
        <v>6</v>
      </c>
      <c r="K34" s="72" t="s">
        <v>5</v>
      </c>
      <c r="L34" s="69">
        <f>SUM(L14:L14)</f>
        <v>34200</v>
      </c>
    </row>
    <row r="35" spans="2:12" ht="31.15" customHeight="1" x14ac:dyDescent="0.25">
      <c r="B35" s="88" t="s">
        <v>4</v>
      </c>
      <c r="C35" s="477" t="s">
        <v>554</v>
      </c>
      <c r="D35" s="478"/>
      <c r="E35" s="478"/>
      <c r="F35" s="478"/>
      <c r="G35" s="478"/>
      <c r="H35" s="478"/>
      <c r="I35" s="478"/>
      <c r="J35" s="478"/>
      <c r="K35" s="478"/>
      <c r="L35" s="479"/>
    </row>
    <row r="36" spans="2:12" x14ac:dyDescent="0.25">
      <c r="B36" s="73"/>
      <c r="C36" s="441" t="s">
        <v>431</v>
      </c>
      <c r="D36" s="442"/>
      <c r="E36" s="442"/>
      <c r="F36" s="442"/>
      <c r="G36" s="442"/>
      <c r="H36" s="441" t="s">
        <v>3</v>
      </c>
      <c r="I36" s="442"/>
      <c r="J36" s="442"/>
      <c r="K36" s="442"/>
      <c r="L36" s="443"/>
    </row>
    <row r="37" spans="2:12" x14ac:dyDescent="0.25">
      <c r="B37" s="25"/>
      <c r="C37" s="450"/>
      <c r="D37" s="480"/>
      <c r="E37" s="480"/>
      <c r="F37" s="480"/>
      <c r="G37" s="451"/>
      <c r="H37" s="454"/>
      <c r="I37" s="455"/>
      <c r="J37" s="455"/>
      <c r="K37" s="455"/>
      <c r="L37" s="456"/>
    </row>
    <row r="38" spans="2:12" ht="31.9" customHeight="1" x14ac:dyDescent="0.25">
      <c r="B38" s="78" t="s">
        <v>2</v>
      </c>
      <c r="C38" s="452"/>
      <c r="D38" s="481"/>
      <c r="E38" s="481"/>
      <c r="F38" s="481"/>
      <c r="G38" s="453"/>
      <c r="H38" s="457"/>
      <c r="I38" s="458"/>
      <c r="J38" s="458"/>
      <c r="K38" s="458"/>
      <c r="L38" s="459"/>
    </row>
    <row r="39" spans="2:12" x14ac:dyDescent="0.25">
      <c r="B39" s="78" t="s">
        <v>1</v>
      </c>
      <c r="C39" s="440" t="s">
        <v>216</v>
      </c>
      <c r="D39" s="440"/>
      <c r="E39" s="440"/>
      <c r="F39" s="440"/>
      <c r="G39" s="440"/>
      <c r="H39" s="441" t="s">
        <v>533</v>
      </c>
      <c r="I39" s="442"/>
      <c r="J39" s="442"/>
      <c r="K39" s="442"/>
      <c r="L39" s="443"/>
    </row>
    <row r="40" spans="2:12" x14ac:dyDescent="0.25">
      <c r="B40" s="83" t="s">
        <v>0</v>
      </c>
      <c r="C40" s="444" t="s">
        <v>271</v>
      </c>
      <c r="D40" s="444"/>
      <c r="E40" s="444"/>
      <c r="F40" s="444"/>
      <c r="G40" s="444"/>
      <c r="H40" s="445" t="s">
        <v>522</v>
      </c>
      <c r="I40" s="444"/>
      <c r="J40" s="444"/>
      <c r="K40" s="444"/>
      <c r="L40" s="446"/>
    </row>
  </sheetData>
  <mergeCells count="24">
    <mergeCell ref="C24:G24"/>
    <mergeCell ref="C39:G39"/>
    <mergeCell ref="H39:L39"/>
    <mergeCell ref="C40:G40"/>
    <mergeCell ref="H40:L40"/>
    <mergeCell ref="C34:F34"/>
    <mergeCell ref="C35:L35"/>
    <mergeCell ref="C36:G36"/>
    <mergeCell ref="H36:L36"/>
    <mergeCell ref="C37:G38"/>
    <mergeCell ref="H37:L38"/>
    <mergeCell ref="C17:E18"/>
    <mergeCell ref="B1:L1"/>
    <mergeCell ref="B2:L2"/>
    <mergeCell ref="B3:L3"/>
    <mergeCell ref="B4:L4"/>
    <mergeCell ref="C6:H6"/>
    <mergeCell ref="C8:G8"/>
    <mergeCell ref="K8:L8"/>
    <mergeCell ref="C11:G12"/>
    <mergeCell ref="D13:E13"/>
    <mergeCell ref="F13:G13"/>
    <mergeCell ref="D14:E14"/>
    <mergeCell ref="F14:G14"/>
  </mergeCells>
  <pageMargins left="0.23622047244094491" right="0.23622047244094491" top="1.1417322834645669" bottom="0.74803149606299213" header="0.31496062992125984" footer="0.31496062992125984"/>
  <pageSetup paperSize="9" scale="6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1F1F-3BB5-4EA4-8FDE-55033EC2BED0}">
  <sheetPr>
    <tabColor theme="9"/>
    <pageSetUpPr fitToPage="1"/>
  </sheetPr>
  <dimension ref="B1:L53"/>
  <sheetViews>
    <sheetView view="pageBreakPreview" topLeftCell="A13" zoomScale="85" zoomScaleNormal="100" zoomScaleSheetLayoutView="85" workbookViewId="0">
      <selection activeCell="C33" sqref="C33:G46"/>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10.28515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6.6" customHeight="1" x14ac:dyDescent="0.4">
      <c r="B3" s="424" t="s">
        <v>470</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553</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6.75" customHeight="1"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432" t="s">
        <v>562</v>
      </c>
      <c r="D10" s="482"/>
      <c r="E10" s="482"/>
      <c r="F10" s="482"/>
      <c r="G10" s="433"/>
      <c r="H10" s="103"/>
      <c r="I10" s="11"/>
      <c r="J10" s="52"/>
      <c r="L10" s="53"/>
    </row>
    <row r="11" spans="2:12" ht="23.45" customHeight="1" x14ac:dyDescent="0.25">
      <c r="B11" s="100"/>
      <c r="C11" s="432"/>
      <c r="D11" s="482"/>
      <c r="E11" s="482"/>
      <c r="F11" s="482"/>
      <c r="G11" s="433"/>
      <c r="H11" s="103"/>
      <c r="I11" s="11"/>
      <c r="J11" s="52"/>
      <c r="L11" s="53"/>
    </row>
    <row r="12" spans="2:12" ht="23.45" customHeight="1" x14ac:dyDescent="0.25">
      <c r="B12" s="100"/>
      <c r="C12" s="390"/>
      <c r="D12" s="393"/>
      <c r="E12" s="393"/>
      <c r="F12" s="393"/>
      <c r="G12" s="391"/>
      <c r="H12" s="103"/>
      <c r="I12" s="11"/>
      <c r="J12" s="52"/>
      <c r="L12" s="53"/>
    </row>
    <row r="13" spans="2:12" ht="36.75" customHeight="1" x14ac:dyDescent="0.25">
      <c r="B13" s="100"/>
      <c r="C13" s="432" t="s">
        <v>565</v>
      </c>
      <c r="D13" s="482"/>
      <c r="E13" s="482"/>
      <c r="F13" s="482"/>
      <c r="G13" s="433"/>
      <c r="H13" s="103"/>
      <c r="I13" s="11"/>
      <c r="J13" s="52"/>
      <c r="L13" s="53"/>
    </row>
    <row r="14" spans="2:12" ht="24" customHeight="1" x14ac:dyDescent="0.25">
      <c r="B14" s="100"/>
      <c r="C14" s="60" t="s">
        <v>21</v>
      </c>
      <c r="D14" s="469" t="s">
        <v>41</v>
      </c>
      <c r="E14" s="469"/>
      <c r="F14" s="469" t="s">
        <v>42</v>
      </c>
      <c r="G14" s="469"/>
      <c r="H14" s="129"/>
      <c r="I14" s="11"/>
      <c r="J14" s="52"/>
      <c r="K14" s="59"/>
      <c r="L14" s="53"/>
    </row>
    <row r="15" spans="2:12" ht="44.25" customHeight="1" x14ac:dyDescent="0.25">
      <c r="B15" s="100"/>
      <c r="C15" s="70">
        <v>80</v>
      </c>
      <c r="D15" s="485" t="s">
        <v>563</v>
      </c>
      <c r="E15" s="485"/>
      <c r="F15" s="486" t="s">
        <v>564</v>
      </c>
      <c r="G15" s="487"/>
      <c r="H15" s="135">
        <v>80</v>
      </c>
      <c r="I15" s="396" t="s">
        <v>43</v>
      </c>
      <c r="J15" s="397">
        <v>150</v>
      </c>
      <c r="K15" s="392"/>
      <c r="L15" s="402">
        <f>H15*J15</f>
        <v>12000</v>
      </c>
    </row>
    <row r="16" spans="2:12" x14ac:dyDescent="0.25">
      <c r="B16" s="100"/>
      <c r="C16" s="382"/>
      <c r="D16" s="383"/>
      <c r="E16" s="383"/>
      <c r="F16" s="384"/>
      <c r="G16" s="381"/>
      <c r="H16" s="154"/>
      <c r="I16" s="377"/>
      <c r="J16" s="378"/>
      <c r="K16" s="379"/>
      <c r="L16" s="380"/>
    </row>
    <row r="17" spans="2:12" ht="50.25" customHeight="1" x14ac:dyDescent="0.25">
      <c r="B17" s="100"/>
      <c r="C17" s="432" t="s">
        <v>566</v>
      </c>
      <c r="D17" s="482"/>
      <c r="E17" s="482"/>
      <c r="F17" s="482"/>
      <c r="G17" s="433"/>
      <c r="H17" s="103"/>
      <c r="I17" s="11"/>
      <c r="J17" s="52"/>
      <c r="L17" s="53"/>
    </row>
    <row r="18" spans="2:12" ht="30" customHeight="1" x14ac:dyDescent="0.25">
      <c r="B18" s="100"/>
      <c r="C18" s="60" t="s">
        <v>21</v>
      </c>
      <c r="D18" s="469" t="s">
        <v>41</v>
      </c>
      <c r="E18" s="469"/>
      <c r="F18" s="469" t="s">
        <v>42</v>
      </c>
      <c r="G18" s="469"/>
      <c r="H18" s="129"/>
      <c r="I18" s="11"/>
      <c r="J18" s="52"/>
      <c r="K18" s="59"/>
      <c r="L18" s="53"/>
    </row>
    <row r="19" spans="2:12" ht="50.25" customHeight="1" x14ac:dyDescent="0.25">
      <c r="B19" s="100"/>
      <c r="C19" s="70">
        <v>80</v>
      </c>
      <c r="D19" s="485" t="s">
        <v>563</v>
      </c>
      <c r="E19" s="485"/>
      <c r="F19" s="486" t="s">
        <v>567</v>
      </c>
      <c r="G19" s="487"/>
      <c r="H19" s="135">
        <v>80</v>
      </c>
      <c r="I19" s="396" t="s">
        <v>43</v>
      </c>
      <c r="J19" s="397">
        <v>150</v>
      </c>
      <c r="K19" s="392"/>
      <c r="L19" s="402">
        <f>H19*J19</f>
        <v>12000</v>
      </c>
    </row>
    <row r="20" spans="2:12" x14ac:dyDescent="0.25">
      <c r="B20" s="100"/>
      <c r="C20" s="382"/>
      <c r="D20" s="488"/>
      <c r="E20" s="488"/>
      <c r="F20" s="489"/>
      <c r="G20" s="490"/>
      <c r="H20" s="154"/>
      <c r="I20" s="377"/>
      <c r="J20" s="378"/>
      <c r="K20" s="379"/>
      <c r="L20" s="380"/>
    </row>
    <row r="21" spans="2:12" ht="45" customHeight="1" x14ac:dyDescent="0.25">
      <c r="B21" s="100"/>
      <c r="C21" s="432" t="s">
        <v>568</v>
      </c>
      <c r="D21" s="482"/>
      <c r="E21" s="482"/>
      <c r="F21" s="482"/>
      <c r="G21" s="433"/>
      <c r="H21" s="103"/>
      <c r="I21" s="11"/>
      <c r="J21" s="52"/>
      <c r="L21" s="53"/>
    </row>
    <row r="22" spans="2:12" ht="28.5" customHeight="1" x14ac:dyDescent="0.25">
      <c r="B22" s="100"/>
      <c r="C22" s="60" t="s">
        <v>21</v>
      </c>
      <c r="D22" s="469" t="s">
        <v>41</v>
      </c>
      <c r="E22" s="469"/>
      <c r="F22" s="469" t="s">
        <v>42</v>
      </c>
      <c r="G22" s="469"/>
      <c r="H22" s="129"/>
      <c r="I22" s="11"/>
      <c r="J22" s="52"/>
      <c r="K22" s="59"/>
      <c r="L22" s="53"/>
    </row>
    <row r="23" spans="2:12" ht="45.75" customHeight="1" x14ac:dyDescent="0.25">
      <c r="B23" s="100"/>
      <c r="C23" s="70">
        <v>80</v>
      </c>
      <c r="D23" s="485" t="s">
        <v>563</v>
      </c>
      <c r="E23" s="485"/>
      <c r="F23" s="486" t="s">
        <v>569</v>
      </c>
      <c r="G23" s="487"/>
      <c r="H23" s="135">
        <v>80</v>
      </c>
      <c r="I23" s="396" t="s">
        <v>43</v>
      </c>
      <c r="J23" s="397">
        <v>150</v>
      </c>
      <c r="K23" s="392"/>
      <c r="L23" s="402">
        <f>H23*J23</f>
        <v>12000</v>
      </c>
    </row>
    <row r="24" spans="2:12" x14ac:dyDescent="0.25">
      <c r="B24" s="100"/>
      <c r="C24" s="400"/>
      <c r="D24" s="403"/>
      <c r="E24" s="403"/>
      <c r="F24" s="401"/>
      <c r="G24" s="404"/>
      <c r="H24" s="154"/>
      <c r="I24" s="377"/>
      <c r="J24" s="378"/>
      <c r="K24" s="379"/>
      <c r="L24" s="380"/>
    </row>
    <row r="25" spans="2:12" ht="35.25" customHeight="1" x14ac:dyDescent="0.25">
      <c r="B25" s="100"/>
      <c r="C25" s="432" t="s">
        <v>570</v>
      </c>
      <c r="D25" s="482"/>
      <c r="E25" s="482"/>
      <c r="F25" s="482"/>
      <c r="G25" s="433"/>
      <c r="H25" s="103"/>
      <c r="I25" s="11"/>
      <c r="J25" s="52"/>
      <c r="L25" s="53"/>
    </row>
    <row r="26" spans="2:12" ht="24.75" customHeight="1" x14ac:dyDescent="0.25">
      <c r="B26" s="100"/>
      <c r="C26" s="60" t="s">
        <v>21</v>
      </c>
      <c r="D26" s="469" t="s">
        <v>41</v>
      </c>
      <c r="E26" s="469"/>
      <c r="F26" s="469" t="s">
        <v>42</v>
      </c>
      <c r="G26" s="469"/>
      <c r="H26" s="129"/>
      <c r="I26" s="11"/>
      <c r="J26" s="52"/>
      <c r="K26" s="59"/>
      <c r="L26" s="53"/>
    </row>
    <row r="27" spans="2:12" ht="36.75" customHeight="1" x14ac:dyDescent="0.25">
      <c r="B27" s="100"/>
      <c r="C27" s="70">
        <v>80</v>
      </c>
      <c r="D27" s="485" t="s">
        <v>563</v>
      </c>
      <c r="E27" s="485"/>
      <c r="F27" s="486" t="s">
        <v>571</v>
      </c>
      <c r="G27" s="487"/>
      <c r="H27" s="135">
        <v>80</v>
      </c>
      <c r="I27" s="396" t="s">
        <v>43</v>
      </c>
      <c r="J27" s="397">
        <v>150</v>
      </c>
      <c r="K27" s="392"/>
      <c r="L27" s="402">
        <f>H27*J27</f>
        <v>12000</v>
      </c>
    </row>
    <row r="28" spans="2:12" x14ac:dyDescent="0.25">
      <c r="B28" s="100"/>
      <c r="C28" s="400"/>
      <c r="D28" s="403"/>
      <c r="E28" s="403"/>
      <c r="F28" s="401"/>
      <c r="G28" s="404"/>
      <c r="H28" s="154"/>
      <c r="I28" s="377"/>
      <c r="J28" s="378"/>
      <c r="K28" s="379"/>
      <c r="L28" s="380"/>
    </row>
    <row r="29" spans="2:12" x14ac:dyDescent="0.25">
      <c r="B29" s="100"/>
      <c r="C29" s="56" t="s">
        <v>40</v>
      </c>
      <c r="D29" s="218"/>
      <c r="E29" s="218"/>
      <c r="F29" s="221"/>
      <c r="G29" s="135"/>
      <c r="H29" s="135"/>
      <c r="I29" s="78"/>
      <c r="J29" s="113"/>
      <c r="K29" s="89"/>
      <c r="L29" s="119"/>
    </row>
    <row r="30" spans="2:12" x14ac:dyDescent="0.25">
      <c r="B30" s="100"/>
      <c r="C30" s="483" t="s">
        <v>551</v>
      </c>
      <c r="D30" s="484"/>
      <c r="E30" s="484"/>
      <c r="F30" s="221"/>
      <c r="G30" s="135"/>
      <c r="H30" s="135"/>
      <c r="I30" s="78"/>
      <c r="J30" s="113"/>
      <c r="K30" s="89"/>
      <c r="L30" s="119"/>
    </row>
    <row r="31" spans="2:12" ht="34.15" customHeight="1" x14ac:dyDescent="0.25">
      <c r="B31" s="100"/>
      <c r="C31" s="483"/>
      <c r="D31" s="484"/>
      <c r="E31" s="484"/>
      <c r="F31" s="221"/>
      <c r="G31" s="135"/>
      <c r="H31" s="135"/>
      <c r="I31" s="78"/>
      <c r="J31" s="113"/>
      <c r="K31" s="89"/>
      <c r="L31" s="119"/>
    </row>
    <row r="32" spans="2:12" x14ac:dyDescent="0.25">
      <c r="B32" s="100"/>
      <c r="C32" s="106"/>
      <c r="D32" s="218"/>
      <c r="E32" s="218"/>
      <c r="F32" s="221"/>
      <c r="G32" s="135"/>
      <c r="H32" s="135"/>
      <c r="I32" s="78"/>
      <c r="J32" s="113"/>
      <c r="K32" s="89"/>
      <c r="L32" s="119"/>
    </row>
    <row r="33" spans="2:12" x14ac:dyDescent="0.25">
      <c r="B33" s="100"/>
      <c r="C33" s="96" t="s">
        <v>33</v>
      </c>
      <c r="D33" s="107"/>
      <c r="E33" s="107"/>
      <c r="F33" s="108"/>
      <c r="G33" s="112"/>
      <c r="H33" s="135"/>
      <c r="I33" s="78"/>
      <c r="J33" s="113"/>
      <c r="K33" s="89"/>
      <c r="L33" s="119"/>
    </row>
    <row r="34" spans="2:12" x14ac:dyDescent="0.25">
      <c r="B34" s="100"/>
      <c r="C34" s="95" t="s">
        <v>34</v>
      </c>
      <c r="D34" s="107"/>
      <c r="E34" s="107"/>
      <c r="F34" s="108"/>
      <c r="G34" s="112"/>
      <c r="H34" s="129"/>
      <c r="I34" s="62"/>
      <c r="J34" s="63"/>
      <c r="K34" s="59"/>
      <c r="L34" s="53"/>
    </row>
    <row r="35" spans="2:12" x14ac:dyDescent="0.25">
      <c r="B35" s="100"/>
      <c r="C35" s="95" t="s">
        <v>35</v>
      </c>
      <c r="D35" s="107"/>
      <c r="E35" s="107"/>
      <c r="F35" s="108"/>
      <c r="G35" s="112"/>
      <c r="H35" s="129"/>
      <c r="I35" s="62"/>
      <c r="J35" s="63"/>
      <c r="K35" s="59"/>
      <c r="L35" s="53"/>
    </row>
    <row r="36" spans="2:12" x14ac:dyDescent="0.25">
      <c r="B36" s="100"/>
      <c r="C36" s="436" t="s">
        <v>560</v>
      </c>
      <c r="D36" s="474"/>
      <c r="E36" s="474"/>
      <c r="F36" s="474"/>
      <c r="G36" s="437"/>
      <c r="H36" s="129"/>
      <c r="I36" s="62"/>
      <c r="J36" s="63"/>
      <c r="K36" s="59"/>
      <c r="L36" s="53"/>
    </row>
    <row r="37" spans="2:12" x14ac:dyDescent="0.25">
      <c r="B37" s="100"/>
      <c r="C37" s="95"/>
      <c r="D37" s="107"/>
      <c r="E37" s="107"/>
      <c r="F37" s="108"/>
      <c r="G37" s="112"/>
      <c r="H37" s="129"/>
      <c r="I37" s="62"/>
      <c r="J37" s="63"/>
      <c r="K37" s="59"/>
      <c r="L37" s="53"/>
    </row>
    <row r="38" spans="2:12" x14ac:dyDescent="0.25">
      <c r="B38" s="100"/>
      <c r="C38" s="96" t="s">
        <v>561</v>
      </c>
      <c r="D38" s="107"/>
      <c r="E38" s="107"/>
      <c r="F38" s="108"/>
      <c r="G38" s="112"/>
      <c r="H38" s="129"/>
      <c r="I38" s="62"/>
      <c r="J38" s="63"/>
      <c r="K38" s="59"/>
      <c r="L38" s="53"/>
    </row>
    <row r="39" spans="2:12" x14ac:dyDescent="0.25">
      <c r="B39" s="100"/>
      <c r="C39" s="95" t="s">
        <v>37</v>
      </c>
      <c r="D39" s="109"/>
      <c r="E39" s="109"/>
      <c r="F39" s="109"/>
      <c r="G39" s="110"/>
      <c r="H39" s="129"/>
      <c r="I39" s="62"/>
      <c r="J39" s="63"/>
      <c r="K39" s="59"/>
      <c r="L39" s="53"/>
    </row>
    <row r="40" spans="2:12" x14ac:dyDescent="0.25">
      <c r="B40" s="100"/>
      <c r="C40" s="95" t="s">
        <v>44</v>
      </c>
      <c r="D40" s="251"/>
      <c r="E40" s="251"/>
      <c r="F40" s="251"/>
      <c r="G40" s="116"/>
      <c r="H40" s="129"/>
      <c r="I40" s="62"/>
      <c r="J40" s="63"/>
      <c r="K40" s="59"/>
      <c r="L40" s="53"/>
    </row>
    <row r="41" spans="2:12" x14ac:dyDescent="0.25">
      <c r="B41" s="100"/>
      <c r="C41" s="95" t="s">
        <v>517</v>
      </c>
      <c r="D41" s="251"/>
      <c r="E41" s="251"/>
      <c r="F41" s="251"/>
      <c r="G41" s="116"/>
      <c r="H41" s="129"/>
      <c r="I41" s="62"/>
      <c r="J41" s="63"/>
      <c r="K41" s="59"/>
      <c r="L41" s="53"/>
    </row>
    <row r="42" spans="2:12" x14ac:dyDescent="0.25">
      <c r="B42" s="100"/>
      <c r="C42" s="95"/>
      <c r="D42" s="109"/>
      <c r="E42" s="109"/>
      <c r="F42" s="109"/>
      <c r="G42" s="110"/>
      <c r="H42" s="129"/>
      <c r="I42" s="62"/>
      <c r="J42" s="63"/>
      <c r="K42" s="59"/>
      <c r="L42" s="53"/>
    </row>
    <row r="43" spans="2:12" x14ac:dyDescent="0.25">
      <c r="B43" s="100"/>
      <c r="C43" s="387" t="s">
        <v>8</v>
      </c>
      <c r="D43" s="104"/>
      <c r="E43" s="104"/>
      <c r="F43" s="104"/>
      <c r="G43" s="105"/>
      <c r="H43" s="129"/>
      <c r="I43" s="62"/>
      <c r="J43" s="63"/>
      <c r="K43" s="59"/>
      <c r="L43" s="53"/>
    </row>
    <row r="44" spans="2:12" x14ac:dyDescent="0.25">
      <c r="B44" s="100"/>
      <c r="C44" s="54" t="s">
        <v>572</v>
      </c>
      <c r="D44" s="102"/>
      <c r="E44" s="102"/>
      <c r="F44" s="102"/>
      <c r="G44" s="103"/>
      <c r="H44" s="129"/>
      <c r="I44" s="62"/>
      <c r="J44" s="63"/>
      <c r="K44" s="59"/>
      <c r="L44" s="53"/>
    </row>
    <row r="45" spans="2:12" x14ac:dyDescent="0.25">
      <c r="B45" s="100"/>
      <c r="C45" s="54"/>
      <c r="D45" s="102"/>
      <c r="E45" s="102"/>
      <c r="F45" s="102"/>
      <c r="G45" s="103"/>
      <c r="H45" s="110"/>
      <c r="I45" s="11"/>
      <c r="J45" s="52"/>
      <c r="L45" s="53"/>
    </row>
    <row r="46" spans="2:12" ht="29.25" customHeight="1" x14ac:dyDescent="0.25">
      <c r="B46" s="100"/>
      <c r="C46" s="475" t="s">
        <v>552</v>
      </c>
      <c r="D46" s="476"/>
      <c r="E46" s="476"/>
      <c r="F46" s="476"/>
      <c r="G46" s="386"/>
      <c r="H46" s="110"/>
      <c r="I46" s="11"/>
      <c r="J46" s="52"/>
      <c r="L46" s="53"/>
    </row>
    <row r="47" spans="2:12" ht="30.6" customHeight="1" x14ac:dyDescent="0.25">
      <c r="B47" s="101"/>
      <c r="C47" s="475"/>
      <c r="D47" s="476"/>
      <c r="E47" s="476"/>
      <c r="F47" s="476"/>
      <c r="G47" s="386"/>
      <c r="H47" s="111"/>
      <c r="I47" s="10"/>
      <c r="J47" s="114" t="s">
        <v>6</v>
      </c>
      <c r="K47" s="72" t="s">
        <v>5</v>
      </c>
      <c r="L47" s="69">
        <f>L19+L23+L15</f>
        <v>36000</v>
      </c>
    </row>
    <row r="48" spans="2:12" ht="31.15" customHeight="1" x14ac:dyDescent="0.25">
      <c r="B48" s="88" t="s">
        <v>4</v>
      </c>
      <c r="C48" s="447" t="s">
        <v>562</v>
      </c>
      <c r="D48" s="448"/>
      <c r="E48" s="448"/>
      <c r="F48" s="448"/>
      <c r="G48" s="448"/>
      <c r="H48" s="448"/>
      <c r="I48" s="448"/>
      <c r="J48" s="448"/>
      <c r="K48" s="448"/>
      <c r="L48" s="449"/>
    </row>
    <row r="49" spans="2:12" x14ac:dyDescent="0.25">
      <c r="B49" s="73"/>
      <c r="C49" s="441" t="s">
        <v>431</v>
      </c>
      <c r="D49" s="442"/>
      <c r="E49" s="442"/>
      <c r="F49" s="442"/>
      <c r="G49" s="442"/>
      <c r="H49" s="441" t="s">
        <v>3</v>
      </c>
      <c r="I49" s="442"/>
      <c r="J49" s="442"/>
      <c r="K49" s="442"/>
      <c r="L49" s="443"/>
    </row>
    <row r="50" spans="2:12" x14ac:dyDescent="0.25">
      <c r="B50" s="25"/>
      <c r="C50" s="450"/>
      <c r="D50" s="480"/>
      <c r="E50" s="480"/>
      <c r="F50" s="480"/>
      <c r="G50" s="451"/>
      <c r="H50" s="454"/>
      <c r="I50" s="455"/>
      <c r="J50" s="455"/>
      <c r="K50" s="455"/>
      <c r="L50" s="456"/>
    </row>
    <row r="51" spans="2:12" ht="31.9" customHeight="1" x14ac:dyDescent="0.25">
      <c r="B51" s="78" t="s">
        <v>2</v>
      </c>
      <c r="C51" s="452"/>
      <c r="D51" s="481"/>
      <c r="E51" s="481"/>
      <c r="F51" s="481"/>
      <c r="G51" s="453"/>
      <c r="H51" s="457"/>
      <c r="I51" s="458"/>
      <c r="J51" s="458"/>
      <c r="K51" s="458"/>
      <c r="L51" s="459"/>
    </row>
    <row r="52" spans="2:12" x14ac:dyDescent="0.25">
      <c r="B52" s="78" t="s">
        <v>1</v>
      </c>
      <c r="C52" s="440" t="s">
        <v>216</v>
      </c>
      <c r="D52" s="440"/>
      <c r="E52" s="440"/>
      <c r="F52" s="440"/>
      <c r="G52" s="440"/>
      <c r="H52" s="441" t="s">
        <v>533</v>
      </c>
      <c r="I52" s="442"/>
      <c r="J52" s="442"/>
      <c r="K52" s="442"/>
      <c r="L52" s="443"/>
    </row>
    <row r="53" spans="2:12" x14ac:dyDescent="0.25">
      <c r="B53" s="83" t="s">
        <v>0</v>
      </c>
      <c r="C53" s="444" t="s">
        <v>271</v>
      </c>
      <c r="D53" s="444"/>
      <c r="E53" s="444"/>
      <c r="F53" s="444"/>
      <c r="G53" s="444"/>
      <c r="H53" s="445" t="s">
        <v>522</v>
      </c>
      <c r="I53" s="444"/>
      <c r="J53" s="444"/>
      <c r="K53" s="444"/>
      <c r="L53" s="446"/>
    </row>
  </sheetData>
  <mergeCells count="43">
    <mergeCell ref="D15:E15"/>
    <mergeCell ref="F15:G15"/>
    <mergeCell ref="C46:F46"/>
    <mergeCell ref="D26:E26"/>
    <mergeCell ref="F26:G26"/>
    <mergeCell ref="D27:E27"/>
    <mergeCell ref="F27:G27"/>
    <mergeCell ref="C36:G36"/>
    <mergeCell ref="C17:G17"/>
    <mergeCell ref="D18:E18"/>
    <mergeCell ref="F18:G18"/>
    <mergeCell ref="D19:E19"/>
    <mergeCell ref="F19:G19"/>
    <mergeCell ref="D20:E20"/>
    <mergeCell ref="F20:G20"/>
    <mergeCell ref="C21:G21"/>
    <mergeCell ref="D22:E22"/>
    <mergeCell ref="F22:G22"/>
    <mergeCell ref="D23:E23"/>
    <mergeCell ref="F23:G23"/>
    <mergeCell ref="C25:G25"/>
    <mergeCell ref="C52:G52"/>
    <mergeCell ref="H52:L52"/>
    <mergeCell ref="C30:E31"/>
    <mergeCell ref="C53:G53"/>
    <mergeCell ref="H53:L53"/>
    <mergeCell ref="C47:F47"/>
    <mergeCell ref="C48:L48"/>
    <mergeCell ref="C49:G49"/>
    <mergeCell ref="H49:L49"/>
    <mergeCell ref="C50:G51"/>
    <mergeCell ref="H50:L51"/>
    <mergeCell ref="B1:L1"/>
    <mergeCell ref="B2:L2"/>
    <mergeCell ref="B3:L3"/>
    <mergeCell ref="B4:L4"/>
    <mergeCell ref="C6:H6"/>
    <mergeCell ref="C8:G8"/>
    <mergeCell ref="K8:L8"/>
    <mergeCell ref="C10:G11"/>
    <mergeCell ref="D14:E14"/>
    <mergeCell ref="F14:G14"/>
    <mergeCell ref="C13:G13"/>
  </mergeCells>
  <pageMargins left="0.23622047244094491" right="0.23622047244094491" top="1.1417322834645669" bottom="0.74803149606299213" header="0.31496062992125984" footer="0.31496062992125984"/>
  <pageSetup paperSize="9" scale="6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91EF-E8FB-4AB1-B346-8184F999FDB9}">
  <sheetPr>
    <tabColor theme="9"/>
    <pageSetUpPr fitToPage="1"/>
  </sheetPr>
  <dimension ref="B1:R65"/>
  <sheetViews>
    <sheetView view="pageBreakPreview" topLeftCell="A31" zoomScale="87" zoomScaleNormal="100" zoomScaleSheetLayoutView="87" workbookViewId="0">
      <selection activeCell="F57" sqref="F57"/>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10.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549</v>
      </c>
      <c r="L4" s="28"/>
      <c r="M4" s="29"/>
      <c r="N4" s="26" t="s">
        <v>550</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x14ac:dyDescent="0.25">
      <c r="B8" s="25"/>
      <c r="C8" s="463" t="s">
        <v>582</v>
      </c>
      <c r="D8" s="464"/>
      <c r="E8" s="464"/>
      <c r="F8" s="464"/>
      <c r="G8" s="464"/>
      <c r="H8" s="464"/>
      <c r="I8" s="465"/>
      <c r="J8" s="116"/>
      <c r="K8" s="25"/>
      <c r="L8" s="79"/>
      <c r="M8" s="25"/>
      <c r="N8" s="80"/>
    </row>
    <row r="9" spans="2:18" ht="15.75" customHeight="1" x14ac:dyDescent="0.25">
      <c r="B9" s="25"/>
      <c r="C9" s="432"/>
      <c r="D9" s="482"/>
      <c r="E9" s="482"/>
      <c r="F9" s="482"/>
      <c r="G9" s="482"/>
      <c r="H9" s="482"/>
      <c r="I9" s="433"/>
      <c r="J9" s="116"/>
      <c r="K9" s="25"/>
      <c r="L9" s="79"/>
      <c r="M9" s="25"/>
      <c r="N9" s="80"/>
    </row>
    <row r="10" spans="2:18" ht="30" customHeight="1" x14ac:dyDescent="0.25">
      <c r="B10" s="25"/>
      <c r="C10" s="491" t="s">
        <v>575</v>
      </c>
      <c r="D10" s="492"/>
      <c r="E10" s="492"/>
      <c r="F10" s="492"/>
      <c r="G10" s="492"/>
      <c r="H10" s="492"/>
      <c r="I10" s="493"/>
      <c r="J10" s="252"/>
      <c r="K10" s="25"/>
      <c r="L10" s="79"/>
      <c r="M10" s="25"/>
      <c r="N10" s="155">
        <f>N14+N15+N16</f>
        <v>14400</v>
      </c>
    </row>
    <row r="11" spans="2:18" ht="30" customHeight="1" x14ac:dyDescent="0.25">
      <c r="B11" s="25"/>
      <c r="C11" s="503" t="s">
        <v>583</v>
      </c>
      <c r="D11" s="504"/>
      <c r="E11" s="504"/>
      <c r="F11" s="504"/>
      <c r="G11" s="504"/>
      <c r="H11" s="504"/>
      <c r="I11" s="505"/>
      <c r="J11" s="252"/>
      <c r="K11" s="25"/>
      <c r="L11" s="79"/>
      <c r="M11" s="25"/>
      <c r="N11" s="155"/>
    </row>
    <row r="12" spans="2:18" ht="30" customHeight="1" x14ac:dyDescent="0.25">
      <c r="B12" s="25"/>
      <c r="C12" s="531" t="s">
        <v>584</v>
      </c>
      <c r="D12" s="532"/>
      <c r="E12" s="532"/>
      <c r="F12" s="532"/>
      <c r="G12" s="532"/>
      <c r="H12" s="532"/>
      <c r="I12" s="533"/>
      <c r="J12" s="252"/>
      <c r="K12" s="25"/>
      <c r="L12" s="79"/>
      <c r="M12" s="25"/>
      <c r="N12" s="155"/>
    </row>
    <row r="13" spans="2:18" ht="33" customHeight="1" x14ac:dyDescent="0.25">
      <c r="B13" s="78"/>
      <c r="C13" s="256" t="s">
        <v>15</v>
      </c>
      <c r="D13" s="256" t="s">
        <v>14</v>
      </c>
      <c r="E13" s="256" t="s">
        <v>13</v>
      </c>
      <c r="F13" s="256" t="s">
        <v>12</v>
      </c>
      <c r="G13" s="469" t="s">
        <v>11</v>
      </c>
      <c r="H13" s="469"/>
      <c r="I13" s="231" t="s">
        <v>10</v>
      </c>
      <c r="J13" s="36"/>
      <c r="K13" s="25"/>
      <c r="L13" s="79"/>
      <c r="M13" s="25"/>
      <c r="N13" s="80"/>
    </row>
    <row r="14" spans="2:18" ht="52.5" customHeight="1" x14ac:dyDescent="0.25">
      <c r="B14" s="78"/>
      <c r="C14" s="494">
        <v>36</v>
      </c>
      <c r="D14" s="220" t="s">
        <v>51</v>
      </c>
      <c r="E14" s="220" t="s">
        <v>145</v>
      </c>
      <c r="F14" s="510" t="s">
        <v>573</v>
      </c>
      <c r="G14" s="506" t="s">
        <v>391</v>
      </c>
      <c r="H14" s="506"/>
      <c r="I14" s="494" t="s">
        <v>576</v>
      </c>
      <c r="J14" s="219">
        <v>36</v>
      </c>
      <c r="K14" s="25"/>
      <c r="L14" s="98">
        <v>100</v>
      </c>
      <c r="M14" s="25"/>
      <c r="N14" s="82">
        <f>J14*L14</f>
        <v>3600</v>
      </c>
    </row>
    <row r="15" spans="2:18" ht="87.75" customHeight="1" x14ac:dyDescent="0.25">
      <c r="B15" s="78"/>
      <c r="C15" s="495"/>
      <c r="D15" s="220" t="s">
        <v>9</v>
      </c>
      <c r="E15" s="220" t="s">
        <v>145</v>
      </c>
      <c r="F15" s="511"/>
      <c r="G15" s="506" t="s">
        <v>574</v>
      </c>
      <c r="H15" s="506"/>
      <c r="I15" s="495"/>
      <c r="J15" s="219">
        <v>36</v>
      </c>
      <c r="K15" s="25"/>
      <c r="L15" s="81">
        <v>200</v>
      </c>
      <c r="M15" s="25"/>
      <c r="N15" s="82">
        <f>J15*L15</f>
        <v>7200</v>
      </c>
    </row>
    <row r="16" spans="2:18" ht="49.5" customHeight="1" x14ac:dyDescent="0.25">
      <c r="B16" s="78"/>
      <c r="C16" s="495"/>
      <c r="D16" s="220" t="s">
        <v>133</v>
      </c>
      <c r="E16" s="220" t="s">
        <v>145</v>
      </c>
      <c r="F16" s="512"/>
      <c r="G16" s="506" t="s">
        <v>392</v>
      </c>
      <c r="H16" s="506"/>
      <c r="I16" s="496"/>
      <c r="J16" s="219">
        <v>36</v>
      </c>
      <c r="K16" s="25"/>
      <c r="L16" s="98">
        <v>100</v>
      </c>
      <c r="M16" s="25"/>
      <c r="N16" s="82">
        <f>J16*L16</f>
        <v>3600</v>
      </c>
    </row>
    <row r="17" spans="2:14" ht="18" customHeight="1" x14ac:dyDescent="0.25">
      <c r="B17" s="25"/>
      <c r="C17" s="529"/>
      <c r="D17" s="530"/>
      <c r="E17" s="530"/>
      <c r="F17" s="530"/>
      <c r="G17" s="530"/>
      <c r="H17" s="530"/>
      <c r="I17" s="473"/>
      <c r="J17" s="135"/>
      <c r="K17" s="24"/>
      <c r="L17" s="79"/>
      <c r="M17" s="25"/>
      <c r="N17" s="80"/>
    </row>
    <row r="18" spans="2:14" ht="27" customHeight="1" x14ac:dyDescent="0.25">
      <c r="B18" s="25"/>
      <c r="C18" s="491" t="s">
        <v>577</v>
      </c>
      <c r="D18" s="492"/>
      <c r="E18" s="492"/>
      <c r="F18" s="492"/>
      <c r="G18" s="492"/>
      <c r="H18" s="492"/>
      <c r="I18" s="493"/>
      <c r="J18" s="252"/>
      <c r="K18" s="25"/>
      <c r="L18" s="79"/>
      <c r="M18" s="25"/>
      <c r="N18" s="155">
        <f>N22+N23+N24</f>
        <v>14400</v>
      </c>
    </row>
    <row r="19" spans="2:14" ht="27" customHeight="1" x14ac:dyDescent="0.25">
      <c r="B19" s="25"/>
      <c r="C19" s="503" t="s">
        <v>583</v>
      </c>
      <c r="D19" s="504"/>
      <c r="E19" s="504"/>
      <c r="F19" s="504"/>
      <c r="G19" s="504"/>
      <c r="H19" s="504"/>
      <c r="I19" s="505"/>
      <c r="J19" s="252"/>
      <c r="K19" s="25"/>
      <c r="L19" s="79"/>
      <c r="M19" s="25"/>
      <c r="N19" s="155"/>
    </row>
    <row r="20" spans="2:14" ht="27" customHeight="1" x14ac:dyDescent="0.25">
      <c r="B20" s="25"/>
      <c r="C20" s="491" t="s">
        <v>585</v>
      </c>
      <c r="D20" s="504"/>
      <c r="E20" s="504"/>
      <c r="F20" s="504"/>
      <c r="G20" s="504"/>
      <c r="H20" s="504"/>
      <c r="I20" s="505"/>
      <c r="J20" s="252"/>
      <c r="K20" s="25"/>
      <c r="L20" s="79"/>
      <c r="M20" s="25"/>
      <c r="N20" s="155"/>
    </row>
    <row r="21" spans="2:14" ht="33.75" customHeight="1" x14ac:dyDescent="0.25">
      <c r="B21" s="78"/>
      <c r="C21" s="256" t="s">
        <v>15</v>
      </c>
      <c r="D21" s="256" t="s">
        <v>14</v>
      </c>
      <c r="E21" s="256" t="s">
        <v>13</v>
      </c>
      <c r="F21" s="256" t="s">
        <v>12</v>
      </c>
      <c r="G21" s="469" t="s">
        <v>11</v>
      </c>
      <c r="H21" s="469"/>
      <c r="I21" s="231" t="s">
        <v>10</v>
      </c>
      <c r="J21" s="36"/>
      <c r="K21" s="25"/>
      <c r="L21" s="79"/>
      <c r="M21" s="25"/>
      <c r="N21" s="80"/>
    </row>
    <row r="22" spans="2:14" ht="52.5" customHeight="1" x14ac:dyDescent="0.25">
      <c r="B22" s="78"/>
      <c r="C22" s="494">
        <v>36</v>
      </c>
      <c r="D22" s="220" t="s">
        <v>51</v>
      </c>
      <c r="E22" s="220" t="s">
        <v>145</v>
      </c>
      <c r="F22" s="510" t="s">
        <v>578</v>
      </c>
      <c r="G22" s="506" t="s">
        <v>391</v>
      </c>
      <c r="H22" s="506"/>
      <c r="I22" s="494" t="s">
        <v>576</v>
      </c>
      <c r="J22" s="219">
        <v>36</v>
      </c>
      <c r="K22" s="25"/>
      <c r="L22" s="98">
        <v>100</v>
      </c>
      <c r="M22" s="25"/>
      <c r="N22" s="82">
        <f>J22*L22</f>
        <v>3600</v>
      </c>
    </row>
    <row r="23" spans="2:14" ht="81.75" customHeight="1" x14ac:dyDescent="0.25">
      <c r="B23" s="78"/>
      <c r="C23" s="495"/>
      <c r="D23" s="220" t="s">
        <v>9</v>
      </c>
      <c r="E23" s="220" t="s">
        <v>145</v>
      </c>
      <c r="F23" s="511"/>
      <c r="G23" s="506" t="s">
        <v>574</v>
      </c>
      <c r="H23" s="506"/>
      <c r="I23" s="495"/>
      <c r="J23" s="219">
        <v>36</v>
      </c>
      <c r="K23" s="25"/>
      <c r="L23" s="81">
        <v>200</v>
      </c>
      <c r="M23" s="25"/>
      <c r="N23" s="82">
        <f>J23*L23</f>
        <v>7200</v>
      </c>
    </row>
    <row r="24" spans="2:14" ht="59.25" customHeight="1" x14ac:dyDescent="0.25">
      <c r="B24" s="78"/>
      <c r="C24" s="496"/>
      <c r="D24" s="220" t="s">
        <v>133</v>
      </c>
      <c r="E24" s="220" t="s">
        <v>145</v>
      </c>
      <c r="F24" s="512"/>
      <c r="G24" s="506" t="s">
        <v>392</v>
      </c>
      <c r="H24" s="506"/>
      <c r="I24" s="496"/>
      <c r="J24" s="219">
        <v>36</v>
      </c>
      <c r="K24" s="25"/>
      <c r="L24" s="98">
        <v>100</v>
      </c>
      <c r="M24" s="25"/>
      <c r="N24" s="82">
        <f>J24*L24</f>
        <v>3600</v>
      </c>
    </row>
    <row r="25" spans="2:14" ht="18" customHeight="1" x14ac:dyDescent="0.25">
      <c r="B25" s="25"/>
      <c r="C25" s="389"/>
      <c r="D25" s="133"/>
      <c r="E25" s="133"/>
      <c r="F25" s="133"/>
      <c r="G25" s="133"/>
      <c r="H25" s="133"/>
      <c r="I25" s="134"/>
      <c r="J25" s="135"/>
      <c r="K25" s="24"/>
      <c r="L25" s="79"/>
      <c r="M25" s="25"/>
      <c r="N25" s="80"/>
    </row>
    <row r="26" spans="2:14" ht="25.5" customHeight="1" x14ac:dyDescent="0.25">
      <c r="B26" s="25"/>
      <c r="C26" s="491" t="s">
        <v>580</v>
      </c>
      <c r="D26" s="492"/>
      <c r="E26" s="492"/>
      <c r="F26" s="492"/>
      <c r="G26" s="492"/>
      <c r="H26" s="492"/>
      <c r="I26" s="493"/>
      <c r="J26" s="252"/>
      <c r="K26" s="25"/>
      <c r="L26" s="79"/>
      <c r="M26" s="25"/>
      <c r="N26" s="155">
        <f>N30+N31+N32</f>
        <v>14400</v>
      </c>
    </row>
    <row r="27" spans="2:14" ht="25.5" customHeight="1" x14ac:dyDescent="0.25">
      <c r="B27" s="25"/>
      <c r="C27" s="503" t="s">
        <v>583</v>
      </c>
      <c r="D27" s="504"/>
      <c r="E27" s="504"/>
      <c r="F27" s="504"/>
      <c r="G27" s="504"/>
      <c r="H27" s="504"/>
      <c r="I27" s="505"/>
      <c r="J27" s="252"/>
      <c r="K27" s="25"/>
      <c r="L27" s="79"/>
      <c r="M27" s="25"/>
      <c r="N27" s="155"/>
    </row>
    <row r="28" spans="2:14" ht="25.5" customHeight="1" x14ac:dyDescent="0.25">
      <c r="B28" s="25"/>
      <c r="C28" s="491" t="s">
        <v>586</v>
      </c>
      <c r="D28" s="504"/>
      <c r="E28" s="504"/>
      <c r="F28" s="504"/>
      <c r="G28" s="504"/>
      <c r="H28" s="504"/>
      <c r="I28" s="505"/>
      <c r="J28" s="252"/>
      <c r="K28" s="25"/>
      <c r="L28" s="79"/>
      <c r="M28" s="25"/>
      <c r="N28" s="155"/>
    </row>
    <row r="29" spans="2:14" ht="41.25" customHeight="1" x14ac:dyDescent="0.25">
      <c r="B29" s="78"/>
      <c r="C29" s="256" t="s">
        <v>15</v>
      </c>
      <c r="D29" s="256" t="s">
        <v>14</v>
      </c>
      <c r="E29" s="256" t="s">
        <v>13</v>
      </c>
      <c r="F29" s="256" t="s">
        <v>12</v>
      </c>
      <c r="G29" s="469" t="s">
        <v>11</v>
      </c>
      <c r="H29" s="469"/>
      <c r="I29" s="231" t="s">
        <v>10</v>
      </c>
      <c r="J29" s="36"/>
      <c r="K29" s="25"/>
      <c r="L29" s="79"/>
      <c r="M29" s="25"/>
      <c r="N29" s="80"/>
    </row>
    <row r="30" spans="2:14" ht="55.5" customHeight="1" x14ac:dyDescent="0.25">
      <c r="B30" s="78"/>
      <c r="C30" s="494">
        <v>36</v>
      </c>
      <c r="D30" s="220" t="s">
        <v>51</v>
      </c>
      <c r="E30" s="220" t="s">
        <v>145</v>
      </c>
      <c r="F30" s="510" t="s">
        <v>579</v>
      </c>
      <c r="G30" s="506" t="s">
        <v>391</v>
      </c>
      <c r="H30" s="506"/>
      <c r="I30" s="494" t="s">
        <v>576</v>
      </c>
      <c r="J30" s="219">
        <v>36</v>
      </c>
      <c r="K30" s="25"/>
      <c r="L30" s="98">
        <v>100</v>
      </c>
      <c r="M30" s="25"/>
      <c r="N30" s="82">
        <f>J30*L30</f>
        <v>3600</v>
      </c>
    </row>
    <row r="31" spans="2:14" ht="81.75" customHeight="1" x14ac:dyDescent="0.25">
      <c r="B31" s="78"/>
      <c r="C31" s="495"/>
      <c r="D31" s="220" t="s">
        <v>9</v>
      </c>
      <c r="E31" s="220" t="s">
        <v>145</v>
      </c>
      <c r="F31" s="511"/>
      <c r="G31" s="506" t="s">
        <v>574</v>
      </c>
      <c r="H31" s="506"/>
      <c r="I31" s="495"/>
      <c r="J31" s="219">
        <v>36</v>
      </c>
      <c r="K31" s="25"/>
      <c r="L31" s="81">
        <v>200</v>
      </c>
      <c r="M31" s="25"/>
      <c r="N31" s="82">
        <f>J31*L31</f>
        <v>7200</v>
      </c>
    </row>
    <row r="32" spans="2:14" ht="53.25" customHeight="1" x14ac:dyDescent="0.25">
      <c r="B32" s="78"/>
      <c r="C32" s="496"/>
      <c r="D32" s="220" t="s">
        <v>133</v>
      </c>
      <c r="E32" s="220" t="s">
        <v>145</v>
      </c>
      <c r="F32" s="512"/>
      <c r="G32" s="506" t="s">
        <v>392</v>
      </c>
      <c r="H32" s="506"/>
      <c r="I32" s="496"/>
      <c r="J32" s="219">
        <v>36</v>
      </c>
      <c r="K32" s="25"/>
      <c r="L32" s="98">
        <v>100</v>
      </c>
      <c r="M32" s="25"/>
      <c r="N32" s="82">
        <f>J32*L32</f>
        <v>3600</v>
      </c>
    </row>
    <row r="33" spans="2:14" ht="18" customHeight="1" x14ac:dyDescent="0.25">
      <c r="B33" s="25"/>
      <c r="C33" s="389"/>
      <c r="D33" s="133"/>
      <c r="E33" s="133"/>
      <c r="F33" s="133"/>
      <c r="G33" s="133"/>
      <c r="H33" s="133"/>
      <c r="I33" s="134"/>
      <c r="J33" s="135"/>
      <c r="K33" s="24"/>
      <c r="L33" s="79"/>
      <c r="M33" s="25"/>
      <c r="N33" s="80"/>
    </row>
    <row r="34" spans="2:14" ht="29.25" customHeight="1" x14ac:dyDescent="0.25">
      <c r="B34" s="25"/>
      <c r="C34" s="491" t="s">
        <v>581</v>
      </c>
      <c r="D34" s="492"/>
      <c r="E34" s="492"/>
      <c r="F34" s="492"/>
      <c r="G34" s="492"/>
      <c r="H34" s="492"/>
      <c r="I34" s="493"/>
      <c r="J34" s="252"/>
      <c r="K34" s="25"/>
      <c r="L34" s="79"/>
      <c r="M34" s="25"/>
      <c r="N34" s="155">
        <f>N38+N39+N40</f>
        <v>14400</v>
      </c>
    </row>
    <row r="35" spans="2:14" ht="29.25" customHeight="1" x14ac:dyDescent="0.25">
      <c r="B35" s="25"/>
      <c r="C35" s="503" t="s">
        <v>583</v>
      </c>
      <c r="D35" s="504"/>
      <c r="E35" s="504"/>
      <c r="F35" s="504"/>
      <c r="G35" s="504"/>
      <c r="H35" s="504"/>
      <c r="I35" s="505"/>
      <c r="J35" s="252"/>
      <c r="K35" s="25"/>
      <c r="L35" s="79"/>
      <c r="M35" s="25"/>
      <c r="N35" s="155"/>
    </row>
    <row r="36" spans="2:14" ht="29.25" customHeight="1" x14ac:dyDescent="0.25">
      <c r="B36" s="25"/>
      <c r="C36" s="531" t="s">
        <v>588</v>
      </c>
      <c r="D36" s="532"/>
      <c r="E36" s="532"/>
      <c r="F36" s="532"/>
      <c r="G36" s="532"/>
      <c r="H36" s="532"/>
      <c r="I36" s="533"/>
      <c r="J36" s="252"/>
      <c r="K36" s="25"/>
      <c r="L36" s="79"/>
      <c r="M36" s="25"/>
      <c r="N36" s="155"/>
    </row>
    <row r="37" spans="2:14" ht="35.25" customHeight="1" x14ac:dyDescent="0.25">
      <c r="B37" s="78"/>
      <c r="C37" s="256" t="s">
        <v>15</v>
      </c>
      <c r="D37" s="256" t="s">
        <v>14</v>
      </c>
      <c r="E37" s="256" t="s">
        <v>13</v>
      </c>
      <c r="F37" s="256" t="s">
        <v>12</v>
      </c>
      <c r="G37" s="469" t="s">
        <v>11</v>
      </c>
      <c r="H37" s="469"/>
      <c r="I37" s="231" t="s">
        <v>10</v>
      </c>
      <c r="J37" s="36"/>
      <c r="K37" s="25"/>
      <c r="L37" s="79"/>
      <c r="M37" s="25"/>
      <c r="N37" s="80"/>
    </row>
    <row r="38" spans="2:14" ht="47.25" customHeight="1" x14ac:dyDescent="0.25">
      <c r="B38" s="78"/>
      <c r="C38" s="494">
        <v>36</v>
      </c>
      <c r="D38" s="220" t="s">
        <v>51</v>
      </c>
      <c r="E38" s="220" t="s">
        <v>145</v>
      </c>
      <c r="F38" s="510" t="s">
        <v>587</v>
      </c>
      <c r="G38" s="506" t="s">
        <v>391</v>
      </c>
      <c r="H38" s="506"/>
      <c r="I38" s="494" t="s">
        <v>576</v>
      </c>
      <c r="J38" s="219">
        <v>36</v>
      </c>
      <c r="K38" s="25"/>
      <c r="L38" s="98">
        <v>100</v>
      </c>
      <c r="M38" s="25"/>
      <c r="N38" s="82">
        <f>J38*L38</f>
        <v>3600</v>
      </c>
    </row>
    <row r="39" spans="2:14" ht="78" customHeight="1" x14ac:dyDescent="0.25">
      <c r="B39" s="78"/>
      <c r="C39" s="495"/>
      <c r="D39" s="220" t="s">
        <v>9</v>
      </c>
      <c r="E39" s="220" t="s">
        <v>145</v>
      </c>
      <c r="F39" s="511"/>
      <c r="G39" s="506" t="s">
        <v>574</v>
      </c>
      <c r="H39" s="506"/>
      <c r="I39" s="495"/>
      <c r="J39" s="219">
        <v>36</v>
      </c>
      <c r="K39" s="25"/>
      <c r="L39" s="81">
        <v>200</v>
      </c>
      <c r="M39" s="25"/>
      <c r="N39" s="82">
        <f>J39*L39</f>
        <v>7200</v>
      </c>
    </row>
    <row r="40" spans="2:14" ht="51" customHeight="1" x14ac:dyDescent="0.25">
      <c r="B40" s="78"/>
      <c r="C40" s="496"/>
      <c r="D40" s="220" t="s">
        <v>133</v>
      </c>
      <c r="E40" s="220" t="s">
        <v>145</v>
      </c>
      <c r="F40" s="512"/>
      <c r="G40" s="506" t="s">
        <v>392</v>
      </c>
      <c r="H40" s="506"/>
      <c r="I40" s="496"/>
      <c r="J40" s="219">
        <v>36</v>
      </c>
      <c r="K40" s="25"/>
      <c r="L40" s="98">
        <v>100</v>
      </c>
      <c r="M40" s="25"/>
      <c r="N40" s="82">
        <f>J40*L40</f>
        <v>3600</v>
      </c>
    </row>
    <row r="41" spans="2:14" ht="18" customHeight="1" x14ac:dyDescent="0.25">
      <c r="B41" s="25"/>
      <c r="C41" s="389"/>
      <c r="D41" s="133"/>
      <c r="E41" s="133"/>
      <c r="F41" s="133"/>
      <c r="G41" s="133"/>
      <c r="H41" s="133"/>
      <c r="I41" s="134"/>
      <c r="J41" s="135"/>
      <c r="K41" s="24"/>
      <c r="L41" s="79"/>
      <c r="M41" s="25"/>
      <c r="N41" s="80"/>
    </row>
    <row r="42" spans="2:14" ht="15.75" customHeight="1" x14ac:dyDescent="0.25">
      <c r="B42" s="25"/>
      <c r="C42" s="523" t="s">
        <v>151</v>
      </c>
      <c r="D42" s="524"/>
      <c r="E42" s="524"/>
      <c r="F42" s="524"/>
      <c r="G42" s="524"/>
      <c r="H42" s="524"/>
      <c r="I42" s="525"/>
      <c r="J42" s="135"/>
      <c r="K42" s="25"/>
      <c r="L42" s="79"/>
      <c r="M42" s="25"/>
      <c r="N42" s="80"/>
    </row>
    <row r="43" spans="2:14" ht="15.75" customHeight="1" x14ac:dyDescent="0.25">
      <c r="B43" s="25"/>
      <c r="C43" s="405" t="s">
        <v>160</v>
      </c>
      <c r="D43" s="24"/>
      <c r="E43" s="24"/>
      <c r="F43" s="24"/>
      <c r="G43" s="251"/>
      <c r="H43" s="251"/>
      <c r="I43" s="116"/>
      <c r="J43" s="314"/>
      <c r="K43" s="25"/>
      <c r="L43" s="79"/>
      <c r="M43" s="25"/>
      <c r="N43" s="80"/>
    </row>
    <row r="44" spans="2:14" ht="15.75" customHeight="1" x14ac:dyDescent="0.25">
      <c r="B44" s="25"/>
      <c r="C44" s="526" t="s">
        <v>153</v>
      </c>
      <c r="D44" s="527"/>
      <c r="E44" s="527"/>
      <c r="F44" s="527"/>
      <c r="G44" s="527"/>
      <c r="H44" s="527"/>
      <c r="I44" s="528"/>
      <c r="J44" s="315"/>
      <c r="K44" s="25"/>
      <c r="L44" s="79"/>
      <c r="M44" s="25"/>
      <c r="N44" s="80"/>
    </row>
    <row r="45" spans="2:14" ht="15.75" customHeight="1" x14ac:dyDescent="0.25">
      <c r="B45" s="25"/>
      <c r="C45" s="342"/>
      <c r="D45" s="343"/>
      <c r="E45" s="343"/>
      <c r="F45" s="343"/>
      <c r="G45" s="343"/>
      <c r="H45" s="343"/>
      <c r="I45" s="344"/>
      <c r="J45" s="315"/>
      <c r="K45" s="25"/>
      <c r="L45" s="79"/>
      <c r="M45" s="25"/>
      <c r="N45" s="80"/>
    </row>
    <row r="46" spans="2:14" ht="15.75" customHeight="1" x14ac:dyDescent="0.25">
      <c r="B46" s="25"/>
      <c r="C46" s="96" t="s">
        <v>33</v>
      </c>
      <c r="D46" s="107"/>
      <c r="E46" s="107"/>
      <c r="F46" s="108"/>
      <c r="G46" s="108"/>
      <c r="H46" s="343"/>
      <c r="I46" s="344"/>
      <c r="J46" s="315"/>
      <c r="K46" s="25"/>
      <c r="L46" s="79"/>
      <c r="M46" s="25"/>
      <c r="N46" s="80"/>
    </row>
    <row r="47" spans="2:14" ht="15.75" customHeight="1" x14ac:dyDescent="0.25">
      <c r="B47" s="25"/>
      <c r="C47" s="95" t="s">
        <v>34</v>
      </c>
      <c r="D47" s="107"/>
      <c r="E47" s="107"/>
      <c r="F47" s="108"/>
      <c r="G47" s="108"/>
      <c r="H47" s="343"/>
      <c r="I47" s="344"/>
      <c r="J47" s="315"/>
      <c r="K47" s="25"/>
      <c r="L47" s="79"/>
      <c r="M47" s="25"/>
      <c r="N47" s="80"/>
    </row>
    <row r="48" spans="2:14" ht="15.75" customHeight="1" x14ac:dyDescent="0.25">
      <c r="B48" s="25"/>
      <c r="C48" s="95" t="s">
        <v>35</v>
      </c>
      <c r="D48" s="107"/>
      <c r="E48" s="107"/>
      <c r="F48" s="108"/>
      <c r="G48" s="108"/>
      <c r="H48" s="343"/>
      <c r="I48" s="344"/>
      <c r="J48" s="315"/>
      <c r="K48" s="25"/>
      <c r="L48" s="79"/>
      <c r="M48" s="25"/>
      <c r="N48" s="80"/>
    </row>
    <row r="49" spans="2:15" ht="39.75" customHeight="1" x14ac:dyDescent="0.25">
      <c r="B49" s="25"/>
      <c r="C49" s="436" t="s">
        <v>560</v>
      </c>
      <c r="D49" s="474"/>
      <c r="E49" s="474"/>
      <c r="F49" s="474"/>
      <c r="G49" s="474"/>
      <c r="H49" s="474"/>
      <c r="I49" s="437"/>
      <c r="J49" s="315"/>
      <c r="K49" s="25"/>
      <c r="L49" s="79"/>
      <c r="M49" s="25"/>
      <c r="N49" s="80"/>
    </row>
    <row r="50" spans="2:15" ht="15.75" customHeight="1" x14ac:dyDescent="0.25">
      <c r="B50" s="25"/>
      <c r="C50" s="95"/>
      <c r="D50" s="107"/>
      <c r="E50" s="107"/>
      <c r="F50" s="108"/>
      <c r="G50" s="108"/>
      <c r="H50" s="343"/>
      <c r="I50" s="344"/>
      <c r="J50" s="315"/>
      <c r="K50" s="25"/>
      <c r="L50" s="79"/>
      <c r="M50" s="25"/>
      <c r="N50" s="80"/>
    </row>
    <row r="51" spans="2:15" ht="15.75" customHeight="1" x14ac:dyDescent="0.25">
      <c r="B51" s="25"/>
      <c r="C51" s="96" t="s">
        <v>561</v>
      </c>
      <c r="D51" s="107"/>
      <c r="E51" s="107"/>
      <c r="F51" s="108"/>
      <c r="G51" s="108"/>
      <c r="H51" s="343"/>
      <c r="I51" s="344"/>
      <c r="J51" s="315"/>
      <c r="K51" s="25"/>
      <c r="L51" s="79"/>
      <c r="M51" s="25"/>
      <c r="N51" s="80"/>
    </row>
    <row r="52" spans="2:15" ht="15.75" customHeight="1" x14ac:dyDescent="0.25">
      <c r="B52" s="25"/>
      <c r="C52" s="95" t="s">
        <v>37</v>
      </c>
      <c r="D52" s="109"/>
      <c r="E52" s="109"/>
      <c r="F52" s="109"/>
      <c r="G52" s="109"/>
      <c r="H52" s="343"/>
      <c r="I52" s="344"/>
      <c r="J52" s="315"/>
      <c r="K52" s="25"/>
      <c r="L52" s="79"/>
      <c r="M52" s="25"/>
      <c r="N52" s="80"/>
    </row>
    <row r="53" spans="2:15" ht="15.75" customHeight="1" x14ac:dyDescent="0.25">
      <c r="B53" s="25"/>
      <c r="C53" s="95" t="s">
        <v>44</v>
      </c>
      <c r="D53" s="251"/>
      <c r="E53" s="251"/>
      <c r="F53" s="251"/>
      <c r="G53" s="251"/>
      <c r="H53" s="343"/>
      <c r="I53" s="344"/>
      <c r="J53" s="315"/>
      <c r="K53" s="25"/>
      <c r="L53" s="79"/>
      <c r="M53" s="25"/>
      <c r="N53" s="80"/>
    </row>
    <row r="54" spans="2:15" ht="15.75" customHeight="1" x14ac:dyDescent="0.25">
      <c r="B54" s="25"/>
      <c r="C54" s="95" t="s">
        <v>517</v>
      </c>
      <c r="D54" s="251"/>
      <c r="E54" s="251"/>
      <c r="F54" s="251"/>
      <c r="G54" s="251"/>
      <c r="H54" s="343"/>
      <c r="I54" s="344"/>
      <c r="J54" s="315"/>
      <c r="K54" s="25"/>
      <c r="L54" s="79"/>
      <c r="M54" s="25"/>
      <c r="N54" s="80"/>
    </row>
    <row r="55" spans="2:15" ht="15.75" customHeight="1" x14ac:dyDescent="0.25">
      <c r="B55" s="25"/>
      <c r="C55" s="95"/>
      <c r="D55" s="109"/>
      <c r="E55" s="109"/>
      <c r="F55" s="109"/>
      <c r="G55" s="109"/>
      <c r="H55" s="343"/>
      <c r="I55" s="344"/>
      <c r="J55" s="315"/>
      <c r="K55" s="25"/>
      <c r="L55" s="79"/>
      <c r="M55" s="25"/>
      <c r="N55" s="80"/>
    </row>
    <row r="56" spans="2:15" ht="15.75" customHeight="1" x14ac:dyDescent="0.25">
      <c r="B56" s="25"/>
      <c r="C56" s="387" t="s">
        <v>8</v>
      </c>
      <c r="D56" s="104"/>
      <c r="E56" s="104"/>
      <c r="F56" s="104"/>
      <c r="G56" s="104"/>
      <c r="H56" s="343"/>
      <c r="I56" s="344"/>
      <c r="J56" s="315"/>
      <c r="K56" s="25"/>
      <c r="L56" s="79"/>
      <c r="M56" s="25"/>
      <c r="N56" s="80"/>
    </row>
    <row r="57" spans="2:15" ht="15.75" customHeight="1" x14ac:dyDescent="0.25">
      <c r="B57" s="25"/>
      <c r="C57" s="54" t="s">
        <v>572</v>
      </c>
      <c r="D57" s="102"/>
      <c r="E57" s="102"/>
      <c r="F57" s="102"/>
      <c r="G57" s="102"/>
      <c r="H57" s="343"/>
      <c r="I57" s="344"/>
      <c r="J57" s="315"/>
      <c r="K57" s="25"/>
      <c r="L57" s="79"/>
      <c r="M57" s="25"/>
      <c r="N57" s="80"/>
    </row>
    <row r="58" spans="2:15" ht="15.6" customHeight="1" x14ac:dyDescent="0.25">
      <c r="B58" s="25"/>
      <c r="C58" s="54"/>
      <c r="D58" s="102"/>
      <c r="E58" s="102"/>
      <c r="F58" s="102"/>
      <c r="G58" s="102"/>
      <c r="H58" s="289"/>
      <c r="I58" s="115"/>
      <c r="J58" s="252"/>
      <c r="K58" s="25"/>
      <c r="L58" s="79"/>
      <c r="M58" s="25"/>
      <c r="N58" s="80"/>
    </row>
    <row r="59" spans="2:15" ht="18" customHeight="1" x14ac:dyDescent="0.25">
      <c r="B59" s="25"/>
      <c r="C59" s="515" t="s">
        <v>589</v>
      </c>
      <c r="D59" s="516"/>
      <c r="E59" s="516"/>
      <c r="F59" s="516"/>
      <c r="G59" s="516"/>
      <c r="H59" s="516"/>
      <c r="I59" s="517"/>
      <c r="J59" s="252"/>
      <c r="K59" s="25"/>
      <c r="L59" s="79"/>
      <c r="M59" s="25"/>
      <c r="N59" s="80"/>
      <c r="O59" s="5"/>
    </row>
    <row r="60" spans="2:15" x14ac:dyDescent="0.25">
      <c r="B60" s="22"/>
      <c r="C60" s="475"/>
      <c r="D60" s="518"/>
      <c r="E60" s="518"/>
      <c r="F60" s="518"/>
      <c r="G60" s="518"/>
      <c r="H60" s="518"/>
      <c r="I60" s="519"/>
      <c r="J60" s="252"/>
      <c r="K60" s="25"/>
      <c r="L60" s="318" t="s">
        <v>6</v>
      </c>
      <c r="M60" s="319" t="s">
        <v>5</v>
      </c>
      <c r="N60" s="155">
        <f>N10+N18+N26+N34</f>
        <v>57600</v>
      </c>
    </row>
    <row r="61" spans="2:15" ht="25.5" customHeight="1" x14ac:dyDescent="0.25">
      <c r="B61" s="88" t="s">
        <v>4</v>
      </c>
      <c r="C61" s="520" t="s">
        <v>582</v>
      </c>
      <c r="D61" s="521"/>
      <c r="E61" s="521"/>
      <c r="F61" s="521"/>
      <c r="G61" s="521"/>
      <c r="H61" s="521"/>
      <c r="I61" s="521"/>
      <c r="J61" s="521"/>
      <c r="K61" s="521"/>
      <c r="L61" s="521"/>
      <c r="M61" s="521"/>
      <c r="N61" s="522"/>
    </row>
    <row r="62" spans="2:15" x14ac:dyDescent="0.25">
      <c r="B62" s="73"/>
      <c r="C62" s="441" t="s">
        <v>590</v>
      </c>
      <c r="D62" s="442"/>
      <c r="E62" s="442"/>
      <c r="F62" s="442"/>
      <c r="G62" s="442"/>
      <c r="H62" s="442"/>
      <c r="I62" s="443"/>
      <c r="J62" s="441" t="s">
        <v>3</v>
      </c>
      <c r="K62" s="442"/>
      <c r="L62" s="442"/>
      <c r="M62" s="442"/>
      <c r="N62" s="443"/>
    </row>
    <row r="63" spans="2:15" ht="46.5" customHeight="1" x14ac:dyDescent="0.25">
      <c r="B63" s="78" t="s">
        <v>2</v>
      </c>
      <c r="C63" s="507"/>
      <c r="D63" s="508"/>
      <c r="E63" s="508"/>
      <c r="F63" s="508"/>
      <c r="G63" s="508"/>
      <c r="H63" s="508"/>
      <c r="I63" s="509"/>
      <c r="J63" s="445"/>
      <c r="K63" s="444"/>
      <c r="L63" s="444"/>
      <c r="M63" s="444"/>
      <c r="N63" s="446"/>
    </row>
    <row r="64" spans="2:15" x14ac:dyDescent="0.25">
      <c r="B64" s="78" t="s">
        <v>1</v>
      </c>
      <c r="C64" s="513" t="s">
        <v>216</v>
      </c>
      <c r="D64" s="440"/>
      <c r="E64" s="440"/>
      <c r="F64" s="440"/>
      <c r="G64" s="440"/>
      <c r="H64" s="440"/>
      <c r="I64" s="514"/>
      <c r="J64" s="441" t="s">
        <v>533</v>
      </c>
      <c r="K64" s="442"/>
      <c r="L64" s="442"/>
      <c r="M64" s="442"/>
      <c r="N64" s="443"/>
    </row>
    <row r="65" spans="2:14" x14ac:dyDescent="0.25">
      <c r="B65" s="83" t="s">
        <v>0</v>
      </c>
      <c r="C65" s="507" t="s">
        <v>217</v>
      </c>
      <c r="D65" s="508"/>
      <c r="E65" s="508"/>
      <c r="F65" s="508"/>
      <c r="G65" s="508"/>
      <c r="H65" s="508"/>
      <c r="I65" s="509"/>
      <c r="J65" s="445" t="s">
        <v>522</v>
      </c>
      <c r="K65" s="444"/>
      <c r="L65" s="444"/>
      <c r="M65" s="444"/>
      <c r="N65" s="446"/>
    </row>
  </sheetData>
  <mergeCells count="61">
    <mergeCell ref="C49:I49"/>
    <mergeCell ref="C12:I12"/>
    <mergeCell ref="C20:I20"/>
    <mergeCell ref="C28:I28"/>
    <mergeCell ref="C36:I36"/>
    <mergeCell ref="C35:I35"/>
    <mergeCell ref="C27:I27"/>
    <mergeCell ref="C19:I19"/>
    <mergeCell ref="C34:I34"/>
    <mergeCell ref="G37:H37"/>
    <mergeCell ref="C38:C40"/>
    <mergeCell ref="F38:F40"/>
    <mergeCell ref="G38:H38"/>
    <mergeCell ref="I38:I40"/>
    <mergeCell ref="G39:H39"/>
    <mergeCell ref="G40:H40"/>
    <mergeCell ref="C26:I26"/>
    <mergeCell ref="G29:H29"/>
    <mergeCell ref="C30:C32"/>
    <mergeCell ref="F30:F32"/>
    <mergeCell ref="G30:H30"/>
    <mergeCell ref="I30:I32"/>
    <mergeCell ref="G31:H31"/>
    <mergeCell ref="G32:H32"/>
    <mergeCell ref="G21:H21"/>
    <mergeCell ref="C22:C24"/>
    <mergeCell ref="F22:F24"/>
    <mergeCell ref="G22:H22"/>
    <mergeCell ref="I22:I24"/>
    <mergeCell ref="G23:H23"/>
    <mergeCell ref="G24:H24"/>
    <mergeCell ref="C65:I65"/>
    <mergeCell ref="J65:N65"/>
    <mergeCell ref="F14:F16"/>
    <mergeCell ref="C62:I62"/>
    <mergeCell ref="J62:N62"/>
    <mergeCell ref="C63:I63"/>
    <mergeCell ref="J63:N63"/>
    <mergeCell ref="C64:I64"/>
    <mergeCell ref="J64:N64"/>
    <mergeCell ref="C59:I59"/>
    <mergeCell ref="C60:I60"/>
    <mergeCell ref="C61:N61"/>
    <mergeCell ref="C42:I42"/>
    <mergeCell ref="C44:I44"/>
    <mergeCell ref="C17:I17"/>
    <mergeCell ref="C18:I18"/>
    <mergeCell ref="C10:I10"/>
    <mergeCell ref="I14:I16"/>
    <mergeCell ref="C8:I9"/>
    <mergeCell ref="B1:N1"/>
    <mergeCell ref="B2:N2"/>
    <mergeCell ref="B3:N3"/>
    <mergeCell ref="C7:I7"/>
    <mergeCell ref="M7:N7"/>
    <mergeCell ref="C11:I11"/>
    <mergeCell ref="G13:H13"/>
    <mergeCell ref="C14:C16"/>
    <mergeCell ref="G14:H14"/>
    <mergeCell ref="G15:H15"/>
    <mergeCell ref="G16:H16"/>
  </mergeCells>
  <printOptions horizontalCentered="1"/>
  <pageMargins left="0.25" right="0.25" top="0.75" bottom="0.75" header="0.3" footer="0.3"/>
  <pageSetup paperSize="9" scale="3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9BF1-4D47-4489-9838-5B35ECC8FCD5}">
  <sheetPr>
    <tabColor theme="9"/>
    <pageSetUpPr fitToPage="1"/>
  </sheetPr>
  <dimension ref="A1:M39"/>
  <sheetViews>
    <sheetView view="pageBreakPreview" topLeftCell="C18" zoomScaleNormal="100" zoomScaleSheetLayoutView="100" workbookViewId="0">
      <selection activeCell="E20" sqref="E20"/>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A1" s="53"/>
      <c r="B1" s="422" t="s">
        <v>28</v>
      </c>
      <c r="C1" s="422"/>
      <c r="D1" s="422"/>
      <c r="E1" s="422"/>
      <c r="F1" s="422"/>
      <c r="G1" s="422"/>
      <c r="H1" s="422"/>
      <c r="I1" s="422"/>
      <c r="J1" s="422"/>
      <c r="K1" s="422"/>
      <c r="L1" s="422"/>
    </row>
    <row r="2" spans="1:13" ht="18" x14ac:dyDescent="0.25">
      <c r="A2" s="545" t="s">
        <v>27</v>
      </c>
      <c r="B2" s="545"/>
      <c r="C2" s="545"/>
      <c r="D2" s="545"/>
      <c r="E2" s="545"/>
      <c r="F2" s="545"/>
      <c r="G2" s="545"/>
      <c r="H2" s="545"/>
      <c r="I2" s="545"/>
      <c r="J2" s="545"/>
      <c r="K2" s="545"/>
      <c r="L2" s="545"/>
      <c r="M2" s="545"/>
    </row>
    <row r="3" spans="1:13" ht="16.149999999999999" customHeight="1" x14ac:dyDescent="0.25">
      <c r="A3" s="546" t="s">
        <v>442</v>
      </c>
      <c r="B3" s="547"/>
      <c r="C3" s="547"/>
      <c r="D3" s="547"/>
      <c r="E3" s="547"/>
      <c r="F3" s="547"/>
      <c r="G3" s="547"/>
      <c r="H3" s="547"/>
      <c r="I3" s="547"/>
      <c r="J3" s="547"/>
      <c r="K3" s="547"/>
      <c r="L3" s="547"/>
      <c r="M3" s="547"/>
    </row>
    <row r="4" spans="1:13" x14ac:dyDescent="0.25">
      <c r="A4" s="546" t="s">
        <v>393</v>
      </c>
      <c r="B4" s="546"/>
      <c r="C4" s="546"/>
      <c r="D4" s="546"/>
      <c r="E4" s="546"/>
      <c r="F4" s="546"/>
      <c r="G4" s="546"/>
      <c r="H4" s="546"/>
      <c r="I4" s="546"/>
      <c r="J4" s="546"/>
      <c r="K4" s="546"/>
      <c r="L4" s="546"/>
      <c r="M4" s="546"/>
    </row>
    <row r="5" spans="1:13" x14ac:dyDescent="0.25">
      <c r="A5" s="548" t="s">
        <v>394</v>
      </c>
      <c r="B5" s="548"/>
      <c r="C5" s="548"/>
      <c r="D5" s="548"/>
      <c r="E5" s="548"/>
      <c r="F5" s="548"/>
      <c r="G5" s="548"/>
      <c r="H5" s="548"/>
      <c r="I5" s="548"/>
      <c r="J5" s="548"/>
      <c r="K5" s="548"/>
      <c r="L5" s="548"/>
      <c r="M5" s="548"/>
    </row>
    <row r="6" spans="1:13" x14ac:dyDescent="0.25">
      <c r="A6" s="548" t="s">
        <v>395</v>
      </c>
      <c r="B6" s="548"/>
      <c r="C6" s="548"/>
      <c r="D6" s="548"/>
      <c r="E6" s="548"/>
      <c r="F6" s="548"/>
      <c r="G6" s="548"/>
      <c r="H6" s="548"/>
      <c r="I6" s="548"/>
      <c r="J6" s="548"/>
      <c r="K6" s="548"/>
      <c r="L6" s="548"/>
      <c r="M6" s="548"/>
    </row>
    <row r="7" spans="1:13" ht="16.149999999999999" customHeight="1" x14ac:dyDescent="0.25">
      <c r="A7" s="548" t="s">
        <v>396</v>
      </c>
      <c r="B7" s="548"/>
      <c r="C7" s="548"/>
      <c r="D7" s="548"/>
      <c r="E7" s="548"/>
      <c r="F7" s="548"/>
      <c r="G7" s="548"/>
      <c r="H7" s="548"/>
      <c r="I7" s="548"/>
      <c r="J7" s="548"/>
      <c r="K7" s="548"/>
      <c r="L7" s="548"/>
      <c r="M7" s="548"/>
    </row>
    <row r="8" spans="1:13" x14ac:dyDescent="0.25">
      <c r="A8" s="549" t="s">
        <v>397</v>
      </c>
      <c r="B8" s="549"/>
      <c r="C8" s="549"/>
      <c r="D8" s="549"/>
      <c r="E8" s="549"/>
      <c r="F8" s="549"/>
      <c r="G8" s="549"/>
      <c r="H8" s="549"/>
      <c r="I8" s="549"/>
      <c r="J8" s="549"/>
      <c r="K8" s="549"/>
      <c r="L8" s="549"/>
      <c r="M8" s="549"/>
    </row>
    <row r="9" spans="1:13" ht="30" customHeight="1" x14ac:dyDescent="0.25">
      <c r="A9" s="53"/>
      <c r="B9" s="31"/>
      <c r="C9" s="30"/>
      <c r="D9" s="38"/>
      <c r="E9" s="38"/>
      <c r="F9" s="38"/>
      <c r="G9" s="38"/>
      <c r="H9" s="38"/>
      <c r="I9" s="29" t="s">
        <v>398</v>
      </c>
      <c r="J9" s="39"/>
      <c r="K9" s="27"/>
      <c r="L9" s="40" t="s">
        <v>553</v>
      </c>
    </row>
    <row r="10" spans="1:13" x14ac:dyDescent="0.25">
      <c r="B10" s="25" t="s">
        <v>26</v>
      </c>
      <c r="C10" s="427" t="s">
        <v>30</v>
      </c>
      <c r="D10" s="427"/>
      <c r="E10" s="427"/>
      <c r="F10" s="427"/>
      <c r="G10" s="427"/>
      <c r="H10" s="427"/>
      <c r="I10" s="24" t="s">
        <v>25</v>
      </c>
      <c r="L10" s="42" t="s">
        <v>22</v>
      </c>
    </row>
    <row r="11" spans="1:13" x14ac:dyDescent="0.25">
      <c r="B11" s="22" t="s">
        <v>24</v>
      </c>
      <c r="C11" s="72" t="s">
        <v>47</v>
      </c>
      <c r="D11" s="71"/>
      <c r="E11" s="71"/>
      <c r="F11" s="71"/>
      <c r="G11" s="71"/>
      <c r="H11" s="71"/>
      <c r="I11" s="20" t="s">
        <v>23</v>
      </c>
      <c r="J11" s="43"/>
      <c r="K11" s="13"/>
      <c r="L11" s="44" t="s">
        <v>22</v>
      </c>
    </row>
    <row r="12" spans="1:13" ht="30.75" customHeight="1" x14ac:dyDescent="0.25">
      <c r="B12" s="142" t="s">
        <v>29</v>
      </c>
      <c r="C12" s="428" t="s">
        <v>19</v>
      </c>
      <c r="D12" s="462"/>
      <c r="E12" s="462"/>
      <c r="F12" s="462"/>
      <c r="G12" s="429"/>
      <c r="H12" s="143" t="s">
        <v>21</v>
      </c>
      <c r="I12" s="33" t="s">
        <v>20</v>
      </c>
      <c r="J12" s="47" t="s">
        <v>18</v>
      </c>
      <c r="K12" s="430" t="s">
        <v>17</v>
      </c>
      <c r="L12" s="431"/>
    </row>
    <row r="13" spans="1:13" x14ac:dyDescent="0.25">
      <c r="B13" s="31"/>
      <c r="C13" s="48"/>
      <c r="D13" s="49"/>
      <c r="E13" s="49"/>
      <c r="F13" s="49"/>
      <c r="G13" s="130"/>
      <c r="H13" s="130"/>
      <c r="I13" s="12"/>
      <c r="J13" s="50"/>
      <c r="K13" s="27"/>
      <c r="L13" s="51"/>
    </row>
    <row r="14" spans="1:13" x14ac:dyDescent="0.25">
      <c r="B14" s="100"/>
      <c r="C14" s="106"/>
      <c r="D14" s="102"/>
      <c r="E14" s="102"/>
      <c r="F14" s="102"/>
      <c r="G14" s="103"/>
      <c r="H14" s="103"/>
      <c r="I14" s="11"/>
      <c r="J14" s="52"/>
      <c r="L14" s="53"/>
    </row>
    <row r="15" spans="1:13" ht="15.75" customHeight="1" x14ac:dyDescent="0.25">
      <c r="B15" s="100"/>
      <c r="C15" s="539" t="s">
        <v>484</v>
      </c>
      <c r="D15" s="540"/>
      <c r="E15" s="540"/>
      <c r="F15" s="540"/>
      <c r="G15" s="541"/>
      <c r="H15" s="103"/>
      <c r="I15" s="11"/>
      <c r="J15" s="52"/>
      <c r="L15" s="53"/>
    </row>
    <row r="16" spans="1:13" ht="40.5" customHeight="1" x14ac:dyDescent="0.25">
      <c r="B16" s="100"/>
      <c r="C16" s="542"/>
      <c r="D16" s="543"/>
      <c r="E16" s="543"/>
      <c r="F16" s="543"/>
      <c r="G16" s="544"/>
      <c r="H16" s="103"/>
      <c r="I16" s="11"/>
      <c r="J16" s="52"/>
      <c r="L16" s="53"/>
    </row>
    <row r="17" spans="2:12" ht="21" customHeight="1" x14ac:dyDescent="0.25">
      <c r="B17" s="100"/>
      <c r="C17" s="60" t="s">
        <v>21</v>
      </c>
      <c r="D17" s="469" t="s">
        <v>41</v>
      </c>
      <c r="E17" s="469"/>
      <c r="F17" s="469" t="s">
        <v>42</v>
      </c>
      <c r="G17" s="469"/>
      <c r="H17" s="129"/>
      <c r="I17" s="11"/>
      <c r="J17" s="52"/>
      <c r="K17" s="59"/>
      <c r="L17" s="53"/>
    </row>
    <row r="18" spans="2:12" ht="37.15" customHeight="1" x14ac:dyDescent="0.25">
      <c r="B18" s="100"/>
      <c r="C18" s="70">
        <v>30</v>
      </c>
      <c r="D18" s="470" t="s">
        <v>559</v>
      </c>
      <c r="E18" s="471"/>
      <c r="F18" s="537" t="s">
        <v>555</v>
      </c>
      <c r="G18" s="538"/>
      <c r="H18" s="129">
        <v>30</v>
      </c>
      <c r="I18" s="11" t="s">
        <v>224</v>
      </c>
      <c r="J18" s="113">
        <v>2</v>
      </c>
      <c r="K18" s="59"/>
      <c r="L18" s="119">
        <f>H18*J18*80</f>
        <v>4800</v>
      </c>
    </row>
    <row r="19" spans="2:12" ht="31.5" customHeight="1" x14ac:dyDescent="0.25">
      <c r="B19" s="100"/>
      <c r="C19" s="147" t="s">
        <v>40</v>
      </c>
      <c r="D19" s="148"/>
      <c r="E19" s="148"/>
      <c r="F19" s="133"/>
      <c r="G19" s="134"/>
      <c r="H19" s="135"/>
      <c r="I19" s="78"/>
      <c r="J19" s="113"/>
      <c r="K19" s="89"/>
      <c r="L19" s="119"/>
    </row>
    <row r="20" spans="2:12" ht="21.75" customHeight="1" x14ac:dyDescent="0.25">
      <c r="B20" s="100"/>
      <c r="C20" s="106" t="s">
        <v>225</v>
      </c>
      <c r="D20" s="218"/>
      <c r="E20" s="218"/>
      <c r="F20" s="221"/>
      <c r="G20" s="135"/>
      <c r="H20" s="135"/>
      <c r="I20" s="78"/>
      <c r="J20" s="113"/>
      <c r="K20" s="89"/>
      <c r="L20" s="119"/>
    </row>
    <row r="21" spans="2:12" ht="20.25" customHeight="1" x14ac:dyDescent="0.25">
      <c r="B21" s="100"/>
      <c r="C21" s="149" t="s">
        <v>226</v>
      </c>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4800</v>
      </c>
    </row>
    <row r="33" spans="2:12" ht="33" customHeight="1" x14ac:dyDescent="0.25">
      <c r="B33" s="88" t="s">
        <v>4</v>
      </c>
      <c r="C33" s="534" t="s">
        <v>484</v>
      </c>
      <c r="D33" s="535"/>
      <c r="E33" s="535"/>
      <c r="F33" s="535"/>
      <c r="G33" s="535"/>
      <c r="H33" s="535"/>
      <c r="I33" s="535"/>
      <c r="J33" s="535"/>
      <c r="K33" s="535"/>
      <c r="L33" s="536"/>
    </row>
    <row r="34" spans="2:12" x14ac:dyDescent="0.25">
      <c r="B34" s="136"/>
      <c r="C34" s="137"/>
      <c r="D34" s="138"/>
      <c r="E34" s="138"/>
      <c r="F34" s="138"/>
      <c r="G34" s="138"/>
      <c r="H34" s="138"/>
      <c r="I34" s="138"/>
      <c r="J34" s="138"/>
      <c r="K34" s="138"/>
      <c r="L34" s="141"/>
    </row>
    <row r="35" spans="2:12" x14ac:dyDescent="0.25">
      <c r="B35" s="73"/>
      <c r="C35" s="445"/>
      <c r="D35" s="444"/>
      <c r="E35" s="444"/>
      <c r="F35" s="444"/>
      <c r="G35" s="444"/>
      <c r="H35" s="441" t="s">
        <v>3</v>
      </c>
      <c r="I35" s="442"/>
      <c r="J35" s="442"/>
      <c r="K35" s="442"/>
      <c r="L35" s="443"/>
    </row>
    <row r="36" spans="2:12" x14ac:dyDescent="0.25">
      <c r="B36" s="25"/>
      <c r="C36" s="450"/>
      <c r="D36" s="480"/>
      <c r="E36" s="480"/>
      <c r="F36" s="480"/>
      <c r="G36" s="451"/>
      <c r="H36" s="454"/>
      <c r="I36" s="455"/>
      <c r="J36" s="455"/>
      <c r="K36" s="455"/>
      <c r="L36" s="456"/>
    </row>
    <row r="37" spans="2:12" x14ac:dyDescent="0.25">
      <c r="B37" s="78" t="s">
        <v>2</v>
      </c>
      <c r="C37" s="452"/>
      <c r="D37" s="481"/>
      <c r="E37" s="481"/>
      <c r="F37" s="481"/>
      <c r="G37" s="453"/>
      <c r="H37" s="457"/>
      <c r="I37" s="458"/>
      <c r="J37" s="458"/>
      <c r="K37" s="458"/>
      <c r="L37" s="459"/>
    </row>
    <row r="38" spans="2:12" ht="15.75" customHeight="1" x14ac:dyDescent="0.25">
      <c r="B38" s="78" t="s">
        <v>1</v>
      </c>
      <c r="C38" s="440" t="s">
        <v>216</v>
      </c>
      <c r="D38" s="440"/>
      <c r="E38" s="440"/>
      <c r="F38" s="440"/>
      <c r="G38" s="440"/>
      <c r="H38" s="441" t="s">
        <v>533</v>
      </c>
      <c r="I38" s="442"/>
      <c r="J38" s="442"/>
      <c r="K38" s="442"/>
      <c r="L38" s="443"/>
    </row>
    <row r="39" spans="2:12" x14ac:dyDescent="0.25">
      <c r="B39" s="83" t="s">
        <v>0</v>
      </c>
      <c r="C39" s="444" t="s">
        <v>227</v>
      </c>
      <c r="D39" s="444"/>
      <c r="E39" s="444"/>
      <c r="F39" s="444"/>
      <c r="G39" s="444"/>
      <c r="H39" s="445" t="s">
        <v>522</v>
      </c>
      <c r="I39" s="444"/>
      <c r="J39" s="444"/>
      <c r="K39" s="444"/>
      <c r="L39" s="446"/>
    </row>
  </sheetData>
  <mergeCells count="25">
    <mergeCell ref="B1:L1"/>
    <mergeCell ref="C10:H10"/>
    <mergeCell ref="C12:G12"/>
    <mergeCell ref="K12:L12"/>
    <mergeCell ref="C15:G16"/>
    <mergeCell ref="A2:M2"/>
    <mergeCell ref="A3:M3"/>
    <mergeCell ref="A4:M4"/>
    <mergeCell ref="A5:M5"/>
    <mergeCell ref="A6:M6"/>
    <mergeCell ref="A7:M7"/>
    <mergeCell ref="A8:M8"/>
    <mergeCell ref="C39:G39"/>
    <mergeCell ref="H39:L39"/>
    <mergeCell ref="C35:G35"/>
    <mergeCell ref="H35:L35"/>
    <mergeCell ref="C36:G37"/>
    <mergeCell ref="H36:L37"/>
    <mergeCell ref="C38:G38"/>
    <mergeCell ref="H38:L38"/>
    <mergeCell ref="C33:L33"/>
    <mergeCell ref="D17:E17"/>
    <mergeCell ref="F17:G17"/>
    <mergeCell ref="D18:E18"/>
    <mergeCell ref="F18:G18"/>
  </mergeCells>
  <pageMargins left="0.23622047244094491" right="0.23622047244094491" top="1.1417322834645669" bottom="0.74803149606299213" header="0.31496062992125984" footer="0.31496062992125984"/>
  <pageSetup paperSize="9" scale="7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11B9D-8052-4E86-8B33-FFAFE628E424}">
  <sheetPr>
    <tabColor theme="4"/>
    <pageSetUpPr fitToPage="1"/>
  </sheetPr>
  <dimension ref="B1:R36"/>
  <sheetViews>
    <sheetView view="pageBreakPreview" topLeftCell="A3" zoomScale="85" zoomScaleNormal="100" zoomScaleSheetLayoutView="85" workbookViewId="0">
      <selection activeCell="F18" sqref="F1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11.42578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ht="99.6" customHeight="1" x14ac:dyDescent="0.25">
      <c r="B2" s="575" t="s">
        <v>451</v>
      </c>
      <c r="C2" s="576"/>
      <c r="D2" s="576"/>
      <c r="E2" s="576"/>
      <c r="F2" s="576"/>
      <c r="G2" s="576"/>
      <c r="H2" s="576"/>
      <c r="I2" s="576"/>
      <c r="J2" s="576"/>
      <c r="K2" s="576"/>
      <c r="L2" s="576"/>
      <c r="M2" s="576"/>
      <c r="N2" s="577"/>
    </row>
    <row r="3" spans="2:18" x14ac:dyDescent="0.25">
      <c r="B3" s="182"/>
      <c r="L3" s="324"/>
      <c r="N3" s="325"/>
    </row>
    <row r="4" spans="2:18" ht="15.6" customHeight="1" x14ac:dyDescent="0.25">
      <c r="B4" s="578" t="s">
        <v>28</v>
      </c>
      <c r="C4" s="498"/>
      <c r="D4" s="498"/>
      <c r="E4" s="498"/>
      <c r="F4" s="498"/>
      <c r="G4" s="498"/>
      <c r="H4" s="498"/>
      <c r="I4" s="498"/>
      <c r="J4" s="498"/>
      <c r="K4" s="498"/>
      <c r="L4" s="498"/>
      <c r="M4" s="498"/>
      <c r="N4" s="579"/>
      <c r="O4" s="24"/>
      <c r="P4" s="24"/>
      <c r="Q4" s="24"/>
      <c r="R4" s="24"/>
    </row>
    <row r="5" spans="2:18" ht="15.6" customHeight="1" x14ac:dyDescent="0.25">
      <c r="B5" s="209"/>
      <c r="C5" s="74"/>
      <c r="D5" s="74"/>
      <c r="E5" s="74"/>
      <c r="F5" s="74"/>
      <c r="G5" s="74"/>
      <c r="H5" s="74"/>
      <c r="I5" s="75"/>
      <c r="J5" s="75"/>
      <c r="K5" s="29" t="s">
        <v>398</v>
      </c>
      <c r="L5" s="28"/>
      <c r="M5" s="29"/>
      <c r="N5" s="264" t="s">
        <v>527</v>
      </c>
      <c r="O5" s="32"/>
      <c r="P5" s="32"/>
      <c r="Q5" s="32"/>
      <c r="R5" s="32"/>
    </row>
    <row r="6" spans="2:18" ht="15.6" customHeight="1" x14ac:dyDescent="0.25">
      <c r="B6" s="177" t="s">
        <v>26</v>
      </c>
      <c r="C6" s="32" t="s">
        <v>30</v>
      </c>
      <c r="D6" s="32"/>
      <c r="E6" s="32"/>
      <c r="F6" s="32"/>
      <c r="G6" s="32"/>
      <c r="H6" s="32"/>
      <c r="I6" s="32"/>
      <c r="J6" s="14"/>
      <c r="K6" s="24" t="s">
        <v>25</v>
      </c>
      <c r="L6" s="76"/>
      <c r="M6" s="24"/>
      <c r="N6" s="265" t="s">
        <v>22</v>
      </c>
      <c r="O6" s="32"/>
      <c r="P6" s="32"/>
      <c r="Q6" s="32"/>
      <c r="R6" s="32"/>
    </row>
    <row r="7" spans="2:18" ht="15.6" customHeight="1" x14ac:dyDescent="0.25">
      <c r="B7" s="179" t="s">
        <v>24</v>
      </c>
      <c r="C7" s="72" t="s">
        <v>47</v>
      </c>
      <c r="D7" s="71"/>
      <c r="E7" s="71"/>
      <c r="F7" s="71"/>
      <c r="G7" s="71"/>
      <c r="H7" s="71"/>
      <c r="I7" s="72"/>
      <c r="J7" s="21"/>
      <c r="K7" s="20" t="s">
        <v>23</v>
      </c>
      <c r="L7" s="77"/>
      <c r="M7" s="20"/>
      <c r="N7" s="266" t="s">
        <v>22</v>
      </c>
    </row>
    <row r="8" spans="2:18" ht="30.6" customHeight="1" x14ac:dyDescent="0.25">
      <c r="B8" s="267" t="s">
        <v>29</v>
      </c>
      <c r="C8" s="500" t="s">
        <v>19</v>
      </c>
      <c r="D8" s="501"/>
      <c r="E8" s="501"/>
      <c r="F8" s="501"/>
      <c r="G8" s="501"/>
      <c r="H8" s="501"/>
      <c r="I8" s="502"/>
      <c r="J8" s="249" t="s">
        <v>21</v>
      </c>
      <c r="K8" s="249" t="s">
        <v>20</v>
      </c>
      <c r="L8" s="18" t="s">
        <v>18</v>
      </c>
      <c r="M8" s="500" t="s">
        <v>17</v>
      </c>
      <c r="N8" s="580"/>
    </row>
    <row r="9" spans="2:18" ht="16.149999999999999" customHeight="1" x14ac:dyDescent="0.25">
      <c r="B9" s="268"/>
      <c r="C9" s="91"/>
      <c r="D9" s="92"/>
      <c r="E9" s="92"/>
      <c r="F9" s="92"/>
      <c r="G9" s="92"/>
      <c r="H9" s="92"/>
      <c r="I9" s="93"/>
      <c r="J9" s="33"/>
      <c r="K9" s="16"/>
      <c r="L9" s="17"/>
      <c r="M9" s="16"/>
      <c r="N9" s="269"/>
    </row>
    <row r="10" spans="2:18" x14ac:dyDescent="0.25">
      <c r="B10" s="177"/>
      <c r="C10" s="432" t="s">
        <v>548</v>
      </c>
      <c r="D10" s="482"/>
      <c r="E10" s="482"/>
      <c r="F10" s="482"/>
      <c r="G10" s="482"/>
      <c r="H10" s="482"/>
      <c r="I10" s="433"/>
      <c r="J10" s="34"/>
      <c r="K10" s="25"/>
      <c r="L10" s="79"/>
      <c r="M10" s="25"/>
      <c r="N10" s="270"/>
    </row>
    <row r="11" spans="2:18" x14ac:dyDescent="0.25">
      <c r="B11" s="177"/>
      <c r="C11" s="432"/>
      <c r="D11" s="482"/>
      <c r="E11" s="482"/>
      <c r="F11" s="482"/>
      <c r="G11" s="482"/>
      <c r="H11" s="482"/>
      <c r="I11" s="433"/>
      <c r="J11" s="34"/>
      <c r="K11" s="25"/>
      <c r="L11" s="79"/>
      <c r="M11" s="25"/>
      <c r="N11" s="270"/>
    </row>
    <row r="12" spans="2:18" x14ac:dyDescent="0.25">
      <c r="B12" s="177"/>
      <c r="C12" s="526"/>
      <c r="D12" s="527"/>
      <c r="E12" s="527"/>
      <c r="F12" s="527"/>
      <c r="G12" s="527"/>
      <c r="H12" s="255"/>
      <c r="I12" s="252"/>
      <c r="J12" s="35"/>
      <c r="K12" s="25"/>
      <c r="L12" s="79"/>
      <c r="M12" s="25"/>
      <c r="N12" s="270"/>
    </row>
    <row r="13" spans="2:18" ht="15.75" customHeight="1" x14ac:dyDescent="0.25">
      <c r="B13" s="177"/>
      <c r="C13" s="526" t="s">
        <v>400</v>
      </c>
      <c r="D13" s="527"/>
      <c r="E13" s="527"/>
      <c r="F13" s="527"/>
      <c r="G13" s="527"/>
      <c r="H13" s="527"/>
      <c r="I13" s="255"/>
      <c r="J13" s="35"/>
      <c r="K13" s="25"/>
      <c r="L13" s="79"/>
      <c r="M13" s="25"/>
      <c r="N13" s="270"/>
    </row>
    <row r="14" spans="2:18" x14ac:dyDescent="0.25">
      <c r="B14" s="177"/>
      <c r="C14" s="438" t="s">
        <v>529</v>
      </c>
      <c r="D14" s="564"/>
      <c r="E14" s="564"/>
      <c r="F14" s="564"/>
      <c r="G14" s="564"/>
      <c r="H14" s="564"/>
      <c r="I14" s="439"/>
      <c r="J14" s="35"/>
      <c r="K14" s="25"/>
      <c r="L14" s="79"/>
      <c r="M14" s="25"/>
      <c r="N14" s="270"/>
    </row>
    <row r="15" spans="2:18" x14ac:dyDescent="0.25">
      <c r="B15" s="177"/>
      <c r="C15" s="254"/>
      <c r="D15" s="255"/>
      <c r="E15" s="255"/>
      <c r="F15" s="255"/>
      <c r="G15" s="255"/>
      <c r="H15" s="255"/>
      <c r="I15" s="252"/>
      <c r="J15" s="35"/>
      <c r="K15" s="25"/>
      <c r="L15" s="79"/>
      <c r="M15" s="25"/>
      <c r="N15" s="270"/>
    </row>
    <row r="16" spans="2:18" x14ac:dyDescent="0.25">
      <c r="B16" s="177"/>
      <c r="C16" s="565" t="s">
        <v>399</v>
      </c>
      <c r="D16" s="566"/>
      <c r="E16" s="566"/>
      <c r="F16" s="566"/>
      <c r="G16" s="566"/>
      <c r="H16" s="251"/>
      <c r="I16" s="94"/>
      <c r="J16" s="37"/>
      <c r="K16" s="25"/>
      <c r="L16" s="79"/>
      <c r="M16" s="25"/>
      <c r="N16" s="270"/>
    </row>
    <row r="17" spans="2:15" ht="31.5" x14ac:dyDescent="0.25">
      <c r="B17" s="177"/>
      <c r="C17" s="256" t="s">
        <v>15</v>
      </c>
      <c r="D17" s="256" t="s">
        <v>14</v>
      </c>
      <c r="E17" s="256" t="s">
        <v>13</v>
      </c>
      <c r="F17" s="256" t="s">
        <v>12</v>
      </c>
      <c r="G17" s="469" t="s">
        <v>11</v>
      </c>
      <c r="H17" s="469"/>
      <c r="I17" s="60" t="s">
        <v>10</v>
      </c>
      <c r="J17" s="36"/>
      <c r="K17" s="25"/>
      <c r="L17" s="79"/>
      <c r="M17" s="25"/>
      <c r="N17" s="270"/>
    </row>
    <row r="18" spans="2:15" ht="49.9" customHeight="1" x14ac:dyDescent="0.25">
      <c r="B18" s="177"/>
      <c r="C18" s="212">
        <v>150</v>
      </c>
      <c r="D18" s="220" t="s">
        <v>530</v>
      </c>
      <c r="E18" s="220" t="s">
        <v>532</v>
      </c>
      <c r="F18" s="150" t="s">
        <v>531</v>
      </c>
      <c r="G18" s="506" t="s">
        <v>391</v>
      </c>
      <c r="H18" s="506"/>
      <c r="I18" s="257" t="s">
        <v>140</v>
      </c>
      <c r="J18" s="219">
        <v>150</v>
      </c>
      <c r="K18" s="90" t="s">
        <v>55</v>
      </c>
      <c r="L18" s="81">
        <v>250</v>
      </c>
      <c r="M18" s="90"/>
      <c r="N18" s="271">
        <f>J18*L18</f>
        <v>37500</v>
      </c>
    </row>
    <row r="19" spans="2:15" x14ac:dyDescent="0.25">
      <c r="B19" s="177"/>
      <c r="C19" s="523"/>
      <c r="D19" s="524"/>
      <c r="E19" s="524"/>
      <c r="F19" s="524"/>
      <c r="G19" s="524"/>
      <c r="H19" s="524"/>
      <c r="I19" s="525"/>
      <c r="J19" s="257"/>
      <c r="K19" s="25"/>
      <c r="L19" s="79"/>
      <c r="M19" s="25"/>
      <c r="N19" s="270"/>
    </row>
    <row r="20" spans="2:15" ht="15.75" customHeight="1" x14ac:dyDescent="0.25">
      <c r="B20" s="78"/>
      <c r="C20" s="567"/>
      <c r="D20" s="568"/>
      <c r="E20" s="568"/>
      <c r="F20" s="568"/>
      <c r="G20" s="568"/>
      <c r="H20" s="568"/>
      <c r="I20" s="569"/>
      <c r="J20" s="315"/>
      <c r="K20" s="25"/>
      <c r="L20" s="79"/>
      <c r="M20" s="25"/>
      <c r="N20" s="80"/>
    </row>
    <row r="21" spans="2:15" x14ac:dyDescent="0.25">
      <c r="B21" s="78"/>
      <c r="C21" s="352" t="s">
        <v>426</v>
      </c>
      <c r="D21" s="343"/>
      <c r="E21" s="343"/>
      <c r="F21" s="343"/>
      <c r="G21" s="343"/>
      <c r="H21" s="343"/>
      <c r="I21" s="115"/>
      <c r="J21" s="94"/>
      <c r="K21" s="25"/>
      <c r="L21" s="79"/>
      <c r="M21" s="25"/>
      <c r="N21" s="80"/>
    </row>
    <row r="22" spans="2:15" ht="34.15" customHeight="1" x14ac:dyDescent="0.25">
      <c r="B22" s="78"/>
      <c r="C22" s="570" t="s">
        <v>427</v>
      </c>
      <c r="D22" s="571"/>
      <c r="E22" s="571"/>
      <c r="F22" s="571"/>
      <c r="G22" s="571"/>
      <c r="H22" s="571"/>
      <c r="I22" s="572"/>
      <c r="J22" s="252"/>
      <c r="K22" s="25"/>
      <c r="L22" s="79"/>
      <c r="M22" s="25"/>
      <c r="N22" s="80"/>
    </row>
    <row r="23" spans="2:15" ht="15.75" customHeight="1" x14ac:dyDescent="0.25">
      <c r="B23" s="78"/>
      <c r="C23" s="349"/>
      <c r="D23"/>
      <c r="E23"/>
      <c r="F23"/>
      <c r="G23"/>
      <c r="H23" s="355"/>
      <c r="I23" s="94"/>
      <c r="J23" s="252"/>
      <c r="K23" s="25"/>
      <c r="L23" s="79"/>
      <c r="M23" s="25"/>
      <c r="N23" s="80"/>
    </row>
    <row r="24" spans="2:15" ht="15.75" customHeight="1" x14ac:dyDescent="0.25">
      <c r="B24" s="78"/>
      <c r="C24" s="353" t="s">
        <v>435</v>
      </c>
      <c r="D24" s="351"/>
      <c r="E24" s="351"/>
      <c r="F24" s="351"/>
      <c r="G24" s="351"/>
      <c r="H24" s="351"/>
      <c r="I24" s="252"/>
      <c r="J24" s="252"/>
      <c r="K24" s="25"/>
      <c r="L24" s="79"/>
      <c r="M24" s="25"/>
      <c r="N24" s="80"/>
    </row>
    <row r="25" spans="2:15" ht="18" customHeight="1" x14ac:dyDescent="0.25">
      <c r="B25" s="78"/>
      <c r="C25" s="570" t="s">
        <v>429</v>
      </c>
      <c r="D25" s="573"/>
      <c r="E25" s="573"/>
      <c r="F25" s="573"/>
      <c r="G25" s="573"/>
      <c r="H25" s="574"/>
      <c r="I25" s="252"/>
      <c r="J25" s="252"/>
      <c r="K25" s="25"/>
      <c r="L25" s="79"/>
      <c r="M25" s="25"/>
      <c r="N25" s="80"/>
      <c r="O25" s="5"/>
    </row>
    <row r="26" spans="2:15" ht="18" customHeight="1" x14ac:dyDescent="0.25">
      <c r="B26" s="78"/>
      <c r="C26" s="357"/>
      <c r="D26"/>
      <c r="E26"/>
      <c r="F26"/>
      <c r="G26"/>
      <c r="H26" s="355"/>
      <c r="I26" s="252"/>
      <c r="J26" s="252"/>
      <c r="K26" s="25"/>
      <c r="L26" s="79"/>
      <c r="M26" s="25"/>
      <c r="N26" s="80"/>
      <c r="O26" s="5"/>
    </row>
    <row r="27" spans="2:15" ht="18" customHeight="1" x14ac:dyDescent="0.25">
      <c r="B27" s="78"/>
      <c r="C27" s="570" t="s">
        <v>436</v>
      </c>
      <c r="D27" s="571"/>
      <c r="E27" s="571"/>
      <c r="F27" s="571"/>
      <c r="G27" s="571"/>
      <c r="H27" s="571"/>
      <c r="I27" s="572"/>
      <c r="J27" s="252"/>
      <c r="K27" s="25"/>
      <c r="L27" s="79"/>
      <c r="M27" s="25"/>
      <c r="N27" s="80"/>
      <c r="O27" s="5"/>
    </row>
    <row r="28" spans="2:15" x14ac:dyDescent="0.25">
      <c r="B28" s="177"/>
      <c r="C28" s="561"/>
      <c r="D28" s="562"/>
      <c r="E28" s="562"/>
      <c r="F28" s="562"/>
      <c r="G28" s="562"/>
      <c r="H28" s="562"/>
      <c r="I28" s="563"/>
      <c r="J28" s="257"/>
      <c r="K28" s="25"/>
      <c r="L28" s="79"/>
      <c r="M28" s="25"/>
      <c r="N28" s="270"/>
    </row>
    <row r="29" spans="2:15" x14ac:dyDescent="0.25">
      <c r="B29" s="179"/>
      <c r="C29" s="475"/>
      <c r="D29" s="518"/>
      <c r="E29" s="518"/>
      <c r="F29" s="518"/>
      <c r="G29" s="518"/>
      <c r="H29" s="253"/>
      <c r="I29" s="97"/>
      <c r="J29" s="84"/>
      <c r="K29" s="22"/>
      <c r="L29" s="85" t="s">
        <v>6</v>
      </c>
      <c r="M29" s="86" t="s">
        <v>5</v>
      </c>
      <c r="N29" s="274">
        <f>SUM(N18:N19)</f>
        <v>37500</v>
      </c>
    </row>
    <row r="30" spans="2:15" ht="15.6" customHeight="1" x14ac:dyDescent="0.25">
      <c r="B30" s="275" t="s">
        <v>4</v>
      </c>
      <c r="C30" s="557" t="s">
        <v>528</v>
      </c>
      <c r="D30" s="558"/>
      <c r="E30" s="558"/>
      <c r="F30" s="558"/>
      <c r="G30" s="558"/>
      <c r="H30" s="558"/>
      <c r="I30" s="558"/>
      <c r="J30" s="558"/>
      <c r="K30" s="558"/>
      <c r="L30" s="558"/>
      <c r="M30" s="558"/>
      <c r="N30" s="559"/>
    </row>
    <row r="31" spans="2:15" x14ac:dyDescent="0.25">
      <c r="B31" s="209"/>
      <c r="C31" s="445"/>
      <c r="D31" s="444"/>
      <c r="E31" s="444"/>
      <c r="F31" s="444"/>
      <c r="G31" s="444"/>
      <c r="H31" s="444"/>
      <c r="I31" s="446"/>
      <c r="J31" s="441" t="s">
        <v>3</v>
      </c>
      <c r="K31" s="442"/>
      <c r="L31" s="442"/>
      <c r="M31" s="442"/>
      <c r="N31" s="550"/>
    </row>
    <row r="32" spans="2:15" x14ac:dyDescent="0.25">
      <c r="B32" s="210" t="s">
        <v>2</v>
      </c>
      <c r="C32" s="507"/>
      <c r="D32" s="508"/>
      <c r="E32" s="508"/>
      <c r="F32" s="508"/>
      <c r="G32" s="508"/>
      <c r="H32" s="508"/>
      <c r="I32" s="509"/>
      <c r="J32" s="445"/>
      <c r="K32" s="444"/>
      <c r="L32" s="444"/>
      <c r="M32" s="444"/>
      <c r="N32" s="560"/>
    </row>
    <row r="33" spans="2:15" x14ac:dyDescent="0.25">
      <c r="B33" s="210" t="s">
        <v>1</v>
      </c>
      <c r="C33" s="513" t="s">
        <v>216</v>
      </c>
      <c r="D33" s="440"/>
      <c r="E33" s="440"/>
      <c r="F33" s="440"/>
      <c r="G33" s="440"/>
      <c r="H33" s="440"/>
      <c r="I33" s="514"/>
      <c r="J33" s="441" t="s">
        <v>533</v>
      </c>
      <c r="K33" s="442"/>
      <c r="L33" s="442"/>
      <c r="M33" s="442"/>
      <c r="N33" s="550"/>
    </row>
    <row r="34" spans="2:15" ht="16.5" thickBot="1" x14ac:dyDescent="0.3">
      <c r="B34" s="211" t="s">
        <v>0</v>
      </c>
      <c r="C34" s="551" t="s">
        <v>217</v>
      </c>
      <c r="D34" s="552"/>
      <c r="E34" s="552"/>
      <c r="F34" s="552"/>
      <c r="G34" s="552"/>
      <c r="H34" s="552"/>
      <c r="I34" s="553"/>
      <c r="J34" s="554" t="s">
        <v>522</v>
      </c>
      <c r="K34" s="555"/>
      <c r="L34" s="555"/>
      <c r="M34" s="555"/>
      <c r="N34" s="556"/>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C10:I11"/>
    <mergeCell ref="B1:N1"/>
    <mergeCell ref="B2:N2"/>
    <mergeCell ref="B4:N4"/>
    <mergeCell ref="C8:I8"/>
    <mergeCell ref="M8:N8"/>
    <mergeCell ref="C28:I28"/>
    <mergeCell ref="C12:G12"/>
    <mergeCell ref="C13:H13"/>
    <mergeCell ref="C14:I14"/>
    <mergeCell ref="C16:G16"/>
    <mergeCell ref="G17:H17"/>
    <mergeCell ref="G18:H18"/>
    <mergeCell ref="C19:I19"/>
    <mergeCell ref="C20:I20"/>
    <mergeCell ref="C22:I22"/>
    <mergeCell ref="C25:H25"/>
    <mergeCell ref="C27:I27"/>
    <mergeCell ref="C33:I33"/>
    <mergeCell ref="J33:N33"/>
    <mergeCell ref="C34:I34"/>
    <mergeCell ref="J34:N34"/>
    <mergeCell ref="C29:G29"/>
    <mergeCell ref="C30:N30"/>
    <mergeCell ref="C31:I31"/>
    <mergeCell ref="J31:N31"/>
    <mergeCell ref="C32:I32"/>
    <mergeCell ref="J32:N32"/>
  </mergeCells>
  <printOptions horizontalCentered="1"/>
  <pageMargins left="0.25" right="0.25" top="0.75" bottom="0.75" header="0.3" footer="0.3"/>
  <pageSetup paperSize="9" scale="52"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8335-A640-4ADA-9F8C-922466BCDAC2}">
  <sheetPr>
    <tabColor theme="4"/>
    <pageSetUpPr fitToPage="1"/>
  </sheetPr>
  <dimension ref="B1:R36"/>
  <sheetViews>
    <sheetView view="pageBreakPreview" topLeftCell="A3" zoomScale="85" zoomScaleNormal="100" zoomScaleSheetLayoutView="85" workbookViewId="0">
      <selection activeCell="E18" sqref="E1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ht="99.6" customHeight="1" x14ac:dyDescent="0.25">
      <c r="B2" s="575" t="s">
        <v>451</v>
      </c>
      <c r="C2" s="576"/>
      <c r="D2" s="576"/>
      <c r="E2" s="576"/>
      <c r="F2" s="576"/>
      <c r="G2" s="576"/>
      <c r="H2" s="576"/>
      <c r="I2" s="576"/>
      <c r="J2" s="576"/>
      <c r="K2" s="576"/>
      <c r="L2" s="576"/>
      <c r="M2" s="576"/>
      <c r="N2" s="577"/>
    </row>
    <row r="3" spans="2:18" x14ac:dyDescent="0.25">
      <c r="B3" s="182"/>
      <c r="L3" s="324"/>
      <c r="N3" s="325"/>
    </row>
    <row r="4" spans="2:18" ht="15.6" customHeight="1" x14ac:dyDescent="0.25">
      <c r="B4" s="578" t="s">
        <v>28</v>
      </c>
      <c r="C4" s="498"/>
      <c r="D4" s="498"/>
      <c r="E4" s="498"/>
      <c r="F4" s="498"/>
      <c r="G4" s="498"/>
      <c r="H4" s="498"/>
      <c r="I4" s="498"/>
      <c r="J4" s="498"/>
      <c r="K4" s="498"/>
      <c r="L4" s="498"/>
      <c r="M4" s="498"/>
      <c r="N4" s="579"/>
      <c r="O4" s="24"/>
      <c r="P4" s="24"/>
      <c r="Q4" s="24"/>
      <c r="R4" s="24"/>
    </row>
    <row r="5" spans="2:18" ht="15.6" customHeight="1" x14ac:dyDescent="0.25">
      <c r="B5" s="209"/>
      <c r="C5" s="74"/>
      <c r="D5" s="74"/>
      <c r="E5" s="74"/>
      <c r="F5" s="74"/>
      <c r="G5" s="74"/>
      <c r="H5" s="74"/>
      <c r="I5" s="75"/>
      <c r="J5" s="75"/>
      <c r="K5" s="29" t="s">
        <v>398</v>
      </c>
      <c r="L5" s="28"/>
      <c r="M5" s="29"/>
      <c r="N5" s="264" t="s">
        <v>527</v>
      </c>
      <c r="O5" s="32"/>
      <c r="P5" s="32"/>
      <c r="Q5" s="32"/>
      <c r="R5" s="32"/>
    </row>
    <row r="6" spans="2:18" ht="15.6" customHeight="1" x14ac:dyDescent="0.25">
      <c r="B6" s="177" t="s">
        <v>26</v>
      </c>
      <c r="C6" s="32" t="s">
        <v>30</v>
      </c>
      <c r="D6" s="32"/>
      <c r="E6" s="32"/>
      <c r="F6" s="32"/>
      <c r="G6" s="32"/>
      <c r="H6" s="32"/>
      <c r="I6" s="32"/>
      <c r="J6" s="14"/>
      <c r="K6" s="24" t="s">
        <v>25</v>
      </c>
      <c r="L6" s="76"/>
      <c r="M6" s="24"/>
      <c r="N6" s="265" t="s">
        <v>22</v>
      </c>
      <c r="O6" s="32"/>
      <c r="P6" s="32"/>
      <c r="Q6" s="32"/>
      <c r="R6" s="32"/>
    </row>
    <row r="7" spans="2:18" ht="15.6" customHeight="1" x14ac:dyDescent="0.25">
      <c r="B7" s="179" t="s">
        <v>24</v>
      </c>
      <c r="C7" s="72" t="s">
        <v>47</v>
      </c>
      <c r="D7" s="71"/>
      <c r="E7" s="71"/>
      <c r="F7" s="71"/>
      <c r="G7" s="71"/>
      <c r="H7" s="71"/>
      <c r="I7" s="72"/>
      <c r="J7" s="21"/>
      <c r="K7" s="20" t="s">
        <v>23</v>
      </c>
      <c r="L7" s="77"/>
      <c r="M7" s="20"/>
      <c r="N7" s="266" t="s">
        <v>22</v>
      </c>
    </row>
    <row r="8" spans="2:18" ht="30.6" customHeight="1" x14ac:dyDescent="0.25">
      <c r="B8" s="267" t="s">
        <v>29</v>
      </c>
      <c r="C8" s="500" t="s">
        <v>19</v>
      </c>
      <c r="D8" s="501"/>
      <c r="E8" s="501"/>
      <c r="F8" s="501"/>
      <c r="G8" s="501"/>
      <c r="H8" s="501"/>
      <c r="I8" s="502"/>
      <c r="J8" s="249" t="s">
        <v>21</v>
      </c>
      <c r="K8" s="249" t="s">
        <v>20</v>
      </c>
      <c r="L8" s="18" t="s">
        <v>18</v>
      </c>
      <c r="M8" s="500" t="s">
        <v>17</v>
      </c>
      <c r="N8" s="580"/>
    </row>
    <row r="9" spans="2:18" ht="16.149999999999999" customHeight="1" x14ac:dyDescent="0.25">
      <c r="B9" s="268"/>
      <c r="C9" s="91"/>
      <c r="D9" s="92"/>
      <c r="E9" s="92"/>
      <c r="F9" s="92"/>
      <c r="G9" s="92"/>
      <c r="H9" s="92"/>
      <c r="I9" s="93"/>
      <c r="J9" s="33"/>
      <c r="K9" s="16"/>
      <c r="L9" s="17"/>
      <c r="M9" s="16"/>
      <c r="N9" s="269"/>
    </row>
    <row r="10" spans="2:18" x14ac:dyDescent="0.25">
      <c r="B10" s="177"/>
      <c r="C10" s="432" t="s">
        <v>528</v>
      </c>
      <c r="D10" s="482"/>
      <c r="E10" s="482"/>
      <c r="F10" s="482"/>
      <c r="G10" s="482"/>
      <c r="H10" s="482"/>
      <c r="I10" s="433"/>
      <c r="J10" s="34"/>
      <c r="K10" s="25"/>
      <c r="L10" s="79"/>
      <c r="M10" s="25"/>
      <c r="N10" s="270"/>
    </row>
    <row r="11" spans="2:18" x14ac:dyDescent="0.25">
      <c r="B11" s="177"/>
      <c r="C11" s="432"/>
      <c r="D11" s="482"/>
      <c r="E11" s="482"/>
      <c r="F11" s="482"/>
      <c r="G11" s="482"/>
      <c r="H11" s="482"/>
      <c r="I11" s="433"/>
      <c r="J11" s="34"/>
      <c r="K11" s="25"/>
      <c r="L11" s="79"/>
      <c r="M11" s="25"/>
      <c r="N11" s="270"/>
    </row>
    <row r="12" spans="2:18" x14ac:dyDescent="0.25">
      <c r="B12" s="177"/>
      <c r="C12" s="526"/>
      <c r="D12" s="527"/>
      <c r="E12" s="527"/>
      <c r="F12" s="527"/>
      <c r="G12" s="527"/>
      <c r="H12" s="255"/>
      <c r="I12" s="252"/>
      <c r="J12" s="35"/>
      <c r="K12" s="25"/>
      <c r="L12" s="79"/>
      <c r="M12" s="25"/>
      <c r="N12" s="270"/>
    </row>
    <row r="13" spans="2:18" ht="15.75" customHeight="1" x14ac:dyDescent="0.25">
      <c r="B13" s="177"/>
      <c r="C13" s="526" t="s">
        <v>400</v>
      </c>
      <c r="D13" s="527"/>
      <c r="E13" s="527"/>
      <c r="F13" s="527"/>
      <c r="G13" s="527"/>
      <c r="H13" s="527"/>
      <c r="I13" s="255"/>
      <c r="J13" s="35"/>
      <c r="K13" s="25"/>
      <c r="L13" s="79"/>
      <c r="M13" s="25"/>
      <c r="N13" s="270"/>
    </row>
    <row r="14" spans="2:18" x14ac:dyDescent="0.25">
      <c r="B14" s="177"/>
      <c r="C14" s="438" t="s">
        <v>529</v>
      </c>
      <c r="D14" s="564"/>
      <c r="E14" s="564"/>
      <c r="F14" s="564"/>
      <c r="G14" s="564"/>
      <c r="H14" s="564"/>
      <c r="I14" s="439"/>
      <c r="J14" s="35"/>
      <c r="K14" s="25"/>
      <c r="L14" s="79"/>
      <c r="M14" s="25"/>
      <c r="N14" s="270"/>
    </row>
    <row r="15" spans="2:18" x14ac:dyDescent="0.25">
      <c r="B15" s="177"/>
      <c r="C15" s="254"/>
      <c r="D15" s="255"/>
      <c r="E15" s="255"/>
      <c r="F15" s="255"/>
      <c r="G15" s="255"/>
      <c r="H15" s="255"/>
      <c r="I15" s="252"/>
      <c r="J15" s="35"/>
      <c r="K15" s="25"/>
      <c r="L15" s="79"/>
      <c r="M15" s="25"/>
      <c r="N15" s="270"/>
    </row>
    <row r="16" spans="2:18" x14ac:dyDescent="0.25">
      <c r="B16" s="177"/>
      <c r="C16" s="565" t="s">
        <v>399</v>
      </c>
      <c r="D16" s="566"/>
      <c r="E16" s="566"/>
      <c r="F16" s="566"/>
      <c r="G16" s="566"/>
      <c r="H16" s="251"/>
      <c r="I16" s="94"/>
      <c r="J16" s="37"/>
      <c r="K16" s="25"/>
      <c r="L16" s="79"/>
      <c r="M16" s="25"/>
      <c r="N16" s="270"/>
    </row>
    <row r="17" spans="2:15" ht="31.5" x14ac:dyDescent="0.25">
      <c r="B17" s="177"/>
      <c r="C17" s="256" t="s">
        <v>15</v>
      </c>
      <c r="D17" s="256" t="s">
        <v>14</v>
      </c>
      <c r="E17" s="256" t="s">
        <v>13</v>
      </c>
      <c r="F17" s="256" t="s">
        <v>12</v>
      </c>
      <c r="G17" s="469" t="s">
        <v>11</v>
      </c>
      <c r="H17" s="469"/>
      <c r="I17" s="60" t="s">
        <v>10</v>
      </c>
      <c r="J17" s="36"/>
      <c r="K17" s="25"/>
      <c r="L17" s="79"/>
      <c r="M17" s="25"/>
      <c r="N17" s="270"/>
    </row>
    <row r="18" spans="2:15" ht="49.9" customHeight="1" x14ac:dyDescent="0.25">
      <c r="B18" s="177"/>
      <c r="C18" s="212">
        <v>150</v>
      </c>
      <c r="D18" s="220" t="s">
        <v>530</v>
      </c>
      <c r="E18" s="220" t="s">
        <v>532</v>
      </c>
      <c r="F18" s="150" t="s">
        <v>531</v>
      </c>
      <c r="G18" s="506" t="s">
        <v>391</v>
      </c>
      <c r="H18" s="506"/>
      <c r="I18" s="257" t="s">
        <v>140</v>
      </c>
      <c r="J18" s="219">
        <v>150</v>
      </c>
      <c r="K18" s="90" t="s">
        <v>55</v>
      </c>
      <c r="L18" s="81">
        <v>250</v>
      </c>
      <c r="M18" s="90"/>
      <c r="N18" s="271">
        <f>J18*L18</f>
        <v>37500</v>
      </c>
    </row>
    <row r="19" spans="2:15" x14ac:dyDescent="0.25">
      <c r="B19" s="177"/>
      <c r="C19" s="523"/>
      <c r="D19" s="524"/>
      <c r="E19" s="524"/>
      <c r="F19" s="524"/>
      <c r="G19" s="524"/>
      <c r="H19" s="524"/>
      <c r="I19" s="525"/>
      <c r="J19" s="257"/>
      <c r="K19" s="25"/>
      <c r="L19" s="79"/>
      <c r="M19" s="25"/>
      <c r="N19" s="270"/>
    </row>
    <row r="20" spans="2:15" ht="15.75" customHeight="1" x14ac:dyDescent="0.25">
      <c r="B20" s="78"/>
      <c r="C20" s="567"/>
      <c r="D20" s="568"/>
      <c r="E20" s="568"/>
      <c r="F20" s="568"/>
      <c r="G20" s="568"/>
      <c r="H20" s="568"/>
      <c r="I20" s="569"/>
      <c r="J20" s="315"/>
      <c r="K20" s="25"/>
      <c r="L20" s="79"/>
      <c r="M20" s="25"/>
      <c r="N20" s="80"/>
    </row>
    <row r="21" spans="2:15" x14ac:dyDescent="0.25">
      <c r="B21" s="78"/>
      <c r="C21" s="352" t="s">
        <v>426</v>
      </c>
      <c r="D21" s="343"/>
      <c r="E21" s="343"/>
      <c r="F21" s="343"/>
      <c r="G21" s="343"/>
      <c r="H21" s="343"/>
      <c r="I21" s="115"/>
      <c r="J21" s="94"/>
      <c r="K21" s="25"/>
      <c r="L21" s="79"/>
      <c r="M21" s="25"/>
      <c r="N21" s="80"/>
    </row>
    <row r="22" spans="2:15" ht="34.15" customHeight="1" x14ac:dyDescent="0.25">
      <c r="B22" s="78"/>
      <c r="C22" s="570" t="s">
        <v>427</v>
      </c>
      <c r="D22" s="571"/>
      <c r="E22" s="571"/>
      <c r="F22" s="571"/>
      <c r="G22" s="571"/>
      <c r="H22" s="571"/>
      <c r="I22" s="572"/>
      <c r="J22" s="252"/>
      <c r="K22" s="25"/>
      <c r="L22" s="79"/>
      <c r="M22" s="25"/>
      <c r="N22" s="80"/>
    </row>
    <row r="23" spans="2:15" ht="15.75" customHeight="1" x14ac:dyDescent="0.25">
      <c r="B23" s="78"/>
      <c r="C23" s="349"/>
      <c r="D23"/>
      <c r="E23"/>
      <c r="F23"/>
      <c r="G23"/>
      <c r="H23" s="355"/>
      <c r="I23" s="94"/>
      <c r="J23" s="252"/>
      <c r="K23" s="25"/>
      <c r="L23" s="79"/>
      <c r="M23" s="25"/>
      <c r="N23" s="80"/>
    </row>
    <row r="24" spans="2:15" ht="15.75" customHeight="1" x14ac:dyDescent="0.25">
      <c r="B24" s="78"/>
      <c r="C24" s="353" t="s">
        <v>435</v>
      </c>
      <c r="D24" s="351"/>
      <c r="E24" s="351"/>
      <c r="F24" s="351"/>
      <c r="G24" s="351"/>
      <c r="H24" s="351"/>
      <c r="I24" s="252"/>
      <c r="J24" s="252"/>
      <c r="K24" s="25"/>
      <c r="L24" s="79"/>
      <c r="M24" s="25"/>
      <c r="N24" s="80"/>
    </row>
    <row r="25" spans="2:15" ht="18" customHeight="1" x14ac:dyDescent="0.25">
      <c r="B25" s="78"/>
      <c r="C25" s="570" t="s">
        <v>429</v>
      </c>
      <c r="D25" s="573"/>
      <c r="E25" s="573"/>
      <c r="F25" s="573"/>
      <c r="G25" s="573"/>
      <c r="H25" s="574"/>
      <c r="I25" s="252"/>
      <c r="J25" s="252"/>
      <c r="K25" s="25"/>
      <c r="L25" s="79"/>
      <c r="M25" s="25"/>
      <c r="N25" s="80"/>
      <c r="O25" s="5"/>
    </row>
    <row r="26" spans="2:15" ht="18" customHeight="1" x14ac:dyDescent="0.25">
      <c r="B26" s="78"/>
      <c r="C26" s="357"/>
      <c r="D26"/>
      <c r="E26"/>
      <c r="F26"/>
      <c r="G26"/>
      <c r="H26" s="355"/>
      <c r="I26" s="252"/>
      <c r="J26" s="252"/>
      <c r="K26" s="25"/>
      <c r="L26" s="79"/>
      <c r="M26" s="25"/>
      <c r="N26" s="80"/>
      <c r="O26" s="5"/>
    </row>
    <row r="27" spans="2:15" ht="18" customHeight="1" x14ac:dyDescent="0.25">
      <c r="B27" s="78"/>
      <c r="C27" s="570" t="s">
        <v>436</v>
      </c>
      <c r="D27" s="571"/>
      <c r="E27" s="571"/>
      <c r="F27" s="571"/>
      <c r="G27" s="571"/>
      <c r="H27" s="571"/>
      <c r="I27" s="572"/>
      <c r="J27" s="252"/>
      <c r="K27" s="25"/>
      <c r="L27" s="79"/>
      <c r="M27" s="25"/>
      <c r="N27" s="80"/>
      <c r="O27" s="5"/>
    </row>
    <row r="28" spans="2:15" x14ac:dyDescent="0.25">
      <c r="B28" s="177"/>
      <c r="C28" s="561"/>
      <c r="D28" s="562"/>
      <c r="E28" s="562"/>
      <c r="F28" s="562"/>
      <c r="G28" s="562"/>
      <c r="H28" s="562"/>
      <c r="I28" s="563"/>
      <c r="J28" s="257"/>
      <c r="K28" s="25"/>
      <c r="L28" s="79"/>
      <c r="M28" s="25"/>
      <c r="N28" s="270"/>
    </row>
    <row r="29" spans="2:15" x14ac:dyDescent="0.25">
      <c r="B29" s="179"/>
      <c r="C29" s="475"/>
      <c r="D29" s="518"/>
      <c r="E29" s="518"/>
      <c r="F29" s="518"/>
      <c r="G29" s="518"/>
      <c r="H29" s="253"/>
      <c r="I29" s="97"/>
      <c r="J29" s="84"/>
      <c r="K29" s="22"/>
      <c r="L29" s="85" t="s">
        <v>6</v>
      </c>
      <c r="M29" s="86" t="s">
        <v>5</v>
      </c>
      <c r="N29" s="274">
        <f>SUM(N18:N19)</f>
        <v>37500</v>
      </c>
    </row>
    <row r="30" spans="2:15" ht="15.6" customHeight="1" x14ac:dyDescent="0.25">
      <c r="B30" s="275" t="s">
        <v>4</v>
      </c>
      <c r="C30" s="557" t="s">
        <v>528</v>
      </c>
      <c r="D30" s="558"/>
      <c r="E30" s="558"/>
      <c r="F30" s="558"/>
      <c r="G30" s="558"/>
      <c r="H30" s="558"/>
      <c r="I30" s="558"/>
      <c r="J30" s="558"/>
      <c r="K30" s="558"/>
      <c r="L30" s="558"/>
      <c r="M30" s="558"/>
      <c r="N30" s="559"/>
    </row>
    <row r="31" spans="2:15" x14ac:dyDescent="0.25">
      <c r="B31" s="209"/>
      <c r="C31" s="445"/>
      <c r="D31" s="444"/>
      <c r="E31" s="444"/>
      <c r="F31" s="444"/>
      <c r="G31" s="444"/>
      <c r="H31" s="444"/>
      <c r="I31" s="446"/>
      <c r="J31" s="441" t="s">
        <v>3</v>
      </c>
      <c r="K31" s="442"/>
      <c r="L31" s="442"/>
      <c r="M31" s="442"/>
      <c r="N31" s="550"/>
    </row>
    <row r="32" spans="2:15" x14ac:dyDescent="0.25">
      <c r="B32" s="210" t="s">
        <v>2</v>
      </c>
      <c r="C32" s="507"/>
      <c r="D32" s="508"/>
      <c r="E32" s="508"/>
      <c r="F32" s="508"/>
      <c r="G32" s="508"/>
      <c r="H32" s="508"/>
      <c r="I32" s="509"/>
      <c r="J32" s="445"/>
      <c r="K32" s="444"/>
      <c r="L32" s="444"/>
      <c r="M32" s="444"/>
      <c r="N32" s="560"/>
    </row>
    <row r="33" spans="2:15" x14ac:dyDescent="0.25">
      <c r="B33" s="210" t="s">
        <v>1</v>
      </c>
      <c r="C33" s="513" t="s">
        <v>216</v>
      </c>
      <c r="D33" s="440"/>
      <c r="E33" s="440"/>
      <c r="F33" s="440"/>
      <c r="G33" s="440"/>
      <c r="H33" s="440"/>
      <c r="I33" s="514"/>
      <c r="J33" s="441" t="s">
        <v>533</v>
      </c>
      <c r="K33" s="442"/>
      <c r="L33" s="442"/>
      <c r="M33" s="442"/>
      <c r="N33" s="550"/>
    </row>
    <row r="34" spans="2:15" ht="16.5" thickBot="1" x14ac:dyDescent="0.3">
      <c r="B34" s="211" t="s">
        <v>0</v>
      </c>
      <c r="C34" s="551" t="s">
        <v>217</v>
      </c>
      <c r="D34" s="552"/>
      <c r="E34" s="552"/>
      <c r="F34" s="552"/>
      <c r="G34" s="552"/>
      <c r="H34" s="552"/>
      <c r="I34" s="553"/>
      <c r="J34" s="554" t="s">
        <v>522</v>
      </c>
      <c r="K34" s="555"/>
      <c r="L34" s="555"/>
      <c r="M34" s="555"/>
      <c r="N34" s="556"/>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C10:I11"/>
    <mergeCell ref="B1:N1"/>
    <mergeCell ref="B2:N2"/>
    <mergeCell ref="B4:N4"/>
    <mergeCell ref="C8:I8"/>
    <mergeCell ref="M8:N8"/>
    <mergeCell ref="C28:I28"/>
    <mergeCell ref="C12:G12"/>
    <mergeCell ref="C13:H13"/>
    <mergeCell ref="C14:I14"/>
    <mergeCell ref="C16:G16"/>
    <mergeCell ref="G17:H17"/>
    <mergeCell ref="G18:H18"/>
    <mergeCell ref="C19:I19"/>
    <mergeCell ref="C20:I20"/>
    <mergeCell ref="C22:I22"/>
    <mergeCell ref="C25:H25"/>
    <mergeCell ref="C27:I27"/>
    <mergeCell ref="C33:I33"/>
    <mergeCell ref="J33:N33"/>
    <mergeCell ref="C34:I34"/>
    <mergeCell ref="J34:N34"/>
    <mergeCell ref="C29:G29"/>
    <mergeCell ref="C30:N30"/>
    <mergeCell ref="C31:I31"/>
    <mergeCell ref="J31:N31"/>
    <mergeCell ref="C32:I32"/>
    <mergeCell ref="J32:N32"/>
  </mergeCells>
  <printOptions horizontalCentered="1"/>
  <pageMargins left="0.25" right="0.25" top="0.75" bottom="0.75" header="0.3" footer="0.3"/>
  <pageSetup paperSize="9" scale="53" fitToHeight="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E100-34EB-409E-8CA6-CDE3E7FE6BBE}">
  <sheetPr>
    <tabColor theme="9"/>
    <pageSetUpPr fitToPage="1"/>
  </sheetPr>
  <dimension ref="B1:L38"/>
  <sheetViews>
    <sheetView view="pageBreakPreview" topLeftCell="A6" zoomScale="85" zoomScaleNormal="100" zoomScaleSheetLayoutView="85" workbookViewId="0">
      <selection activeCell="L21" sqref="L21"/>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6.6" customHeight="1" x14ac:dyDescent="0.4">
      <c r="B3" s="424" t="s">
        <v>470</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500</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6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463" t="s">
        <v>501</v>
      </c>
      <c r="D11" s="464"/>
      <c r="E11" s="464"/>
      <c r="F11" s="464"/>
      <c r="G11" s="465"/>
      <c r="H11" s="103"/>
      <c r="I11" s="11"/>
      <c r="J11" s="52"/>
      <c r="L11" s="53"/>
    </row>
    <row r="12" spans="2:12" ht="28.15" customHeight="1" x14ac:dyDescent="0.25">
      <c r="B12" s="100"/>
      <c r="C12" s="466"/>
      <c r="D12" s="467"/>
      <c r="E12" s="467"/>
      <c r="F12" s="467"/>
      <c r="G12" s="468"/>
      <c r="H12" s="103"/>
      <c r="I12" s="11"/>
      <c r="J12" s="52"/>
      <c r="L12" s="53"/>
    </row>
    <row r="13" spans="2:12" x14ac:dyDescent="0.25">
      <c r="B13" s="100"/>
      <c r="C13" s="60" t="s">
        <v>21</v>
      </c>
      <c r="D13" s="469" t="s">
        <v>41</v>
      </c>
      <c r="E13" s="469"/>
      <c r="F13" s="469" t="s">
        <v>42</v>
      </c>
      <c r="G13" s="469"/>
      <c r="H13" s="129"/>
      <c r="I13" s="11"/>
      <c r="J13" s="52"/>
      <c r="K13" s="59"/>
      <c r="L13" s="53"/>
    </row>
    <row r="14" spans="2:12" x14ac:dyDescent="0.25">
      <c r="B14" s="100"/>
      <c r="C14" s="244">
        <v>360</v>
      </c>
      <c r="D14" s="581" t="s">
        <v>502</v>
      </c>
      <c r="E14" s="582"/>
      <c r="F14" s="583" t="s">
        <v>503</v>
      </c>
      <c r="G14" s="584"/>
      <c r="H14" s="154">
        <v>360</v>
      </c>
      <c r="I14" s="377" t="s">
        <v>43</v>
      </c>
      <c r="J14" s="378">
        <v>500</v>
      </c>
      <c r="K14" s="379"/>
      <c r="L14" s="380">
        <f>H14*J14</f>
        <v>180000</v>
      </c>
    </row>
    <row r="15" spans="2:12" x14ac:dyDescent="0.25">
      <c r="B15" s="100"/>
      <c r="C15" s="382"/>
      <c r="D15" s="383"/>
      <c r="E15" s="383"/>
      <c r="F15" s="384"/>
      <c r="G15" s="381"/>
      <c r="H15" s="154"/>
      <c r="I15" s="377"/>
      <c r="J15" s="378"/>
      <c r="K15" s="379"/>
      <c r="L15" s="380"/>
    </row>
    <row r="16" spans="2:12" x14ac:dyDescent="0.25">
      <c r="B16" s="100"/>
      <c r="C16" s="56" t="s">
        <v>40</v>
      </c>
      <c r="D16" s="218"/>
      <c r="E16" s="218"/>
      <c r="F16" s="221"/>
      <c r="G16" s="135"/>
      <c r="H16" s="135"/>
      <c r="I16" s="78"/>
      <c r="J16" s="113"/>
      <c r="K16" s="89"/>
      <c r="L16" s="119"/>
    </row>
    <row r="17" spans="2:12" x14ac:dyDescent="0.25">
      <c r="B17" s="100"/>
      <c r="C17" s="483" t="s">
        <v>472</v>
      </c>
      <c r="D17" s="484"/>
      <c r="E17" s="484"/>
      <c r="F17" s="221"/>
      <c r="G17" s="135"/>
      <c r="H17" s="135"/>
      <c r="I17" s="78"/>
      <c r="J17" s="113"/>
      <c r="K17" s="89"/>
      <c r="L17" s="119"/>
    </row>
    <row r="18" spans="2:12" x14ac:dyDescent="0.25">
      <c r="B18" s="100"/>
      <c r="C18" s="483"/>
      <c r="D18" s="484"/>
      <c r="E18" s="484"/>
      <c r="F18" s="221"/>
      <c r="G18" s="135"/>
      <c r="H18" s="135"/>
      <c r="I18" s="78"/>
      <c r="J18" s="113"/>
      <c r="K18" s="89"/>
      <c r="L18" s="119"/>
    </row>
    <row r="19" spans="2:12" x14ac:dyDescent="0.25">
      <c r="B19" s="100"/>
      <c r="C19" s="106"/>
      <c r="D19" s="218"/>
      <c r="E19" s="218"/>
      <c r="F19" s="221"/>
      <c r="G19" s="135"/>
      <c r="H19" s="135"/>
      <c r="I19" s="78"/>
      <c r="J19" s="113"/>
      <c r="K19" s="89"/>
      <c r="L19" s="119"/>
    </row>
    <row r="20" spans="2:12" x14ac:dyDescent="0.25">
      <c r="B20" s="100"/>
      <c r="C20" s="96" t="s">
        <v>33</v>
      </c>
      <c r="D20" s="107"/>
      <c r="E20" s="107"/>
      <c r="F20" s="108"/>
      <c r="G20" s="112"/>
      <c r="H20" s="61"/>
      <c r="I20" s="62"/>
      <c r="J20" s="63"/>
      <c r="K20" s="59"/>
      <c r="L20" s="53"/>
    </row>
    <row r="21" spans="2:12" x14ac:dyDescent="0.25">
      <c r="B21" s="100"/>
      <c r="C21" s="95" t="s">
        <v>34</v>
      </c>
      <c r="D21" s="107"/>
      <c r="E21" s="107"/>
      <c r="F21" s="108"/>
      <c r="G21" s="112"/>
      <c r="H21" s="61"/>
      <c r="I21" s="62"/>
      <c r="J21" s="63"/>
      <c r="K21" s="59"/>
      <c r="L21" s="53"/>
    </row>
    <row r="22" spans="2:12" x14ac:dyDescent="0.25">
      <c r="B22" s="100"/>
      <c r="C22" s="95" t="s">
        <v>35</v>
      </c>
      <c r="D22" s="107"/>
      <c r="E22" s="107"/>
      <c r="F22" s="108"/>
      <c r="G22" s="112"/>
      <c r="H22" s="61"/>
      <c r="I22" s="62"/>
      <c r="J22" s="63"/>
      <c r="K22" s="59"/>
      <c r="L22" s="53"/>
    </row>
    <row r="23" spans="2:12" x14ac:dyDescent="0.25">
      <c r="B23" s="100"/>
      <c r="C23" s="95"/>
      <c r="D23" s="107"/>
      <c r="E23" s="107"/>
      <c r="F23" s="108"/>
      <c r="G23" s="112"/>
      <c r="H23" s="61"/>
      <c r="I23" s="62"/>
      <c r="J23" s="63"/>
      <c r="K23" s="59"/>
      <c r="L23" s="53"/>
    </row>
    <row r="24" spans="2:12" x14ac:dyDescent="0.25">
      <c r="B24" s="100"/>
      <c r="C24" s="96" t="s">
        <v>36</v>
      </c>
      <c r="D24" s="107"/>
      <c r="E24" s="107"/>
      <c r="F24" s="108"/>
      <c r="G24" s="112"/>
      <c r="H24" s="61"/>
      <c r="I24" s="62"/>
      <c r="J24" s="63"/>
      <c r="K24" s="59"/>
      <c r="L24" s="53"/>
    </row>
    <row r="25" spans="2:12" x14ac:dyDescent="0.25">
      <c r="B25" s="100"/>
      <c r="C25" s="95" t="s">
        <v>37</v>
      </c>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95"/>
      <c r="D27" s="109"/>
      <c r="E27" s="109"/>
      <c r="F27" s="109"/>
      <c r="G27" s="110"/>
      <c r="H27" s="65"/>
      <c r="I27" s="11"/>
      <c r="J27" s="52"/>
      <c r="L27" s="53"/>
    </row>
    <row r="28" spans="2:12" x14ac:dyDescent="0.25">
      <c r="B28" s="100"/>
      <c r="C28" s="56" t="s">
        <v>8</v>
      </c>
      <c r="D28" s="104"/>
      <c r="E28" s="104"/>
      <c r="F28" s="104"/>
      <c r="G28" s="105"/>
      <c r="H28" s="57"/>
      <c r="I28" s="11"/>
      <c r="J28" s="113"/>
      <c r="K28" s="24"/>
      <c r="L28" s="53"/>
    </row>
    <row r="29" spans="2:12" x14ac:dyDescent="0.25">
      <c r="B29" s="100"/>
      <c r="C29" s="54" t="s">
        <v>7</v>
      </c>
      <c r="D29" s="102"/>
      <c r="E29" s="102"/>
      <c r="F29" s="102"/>
      <c r="G29" s="103"/>
      <c r="H29" s="55"/>
      <c r="I29" s="11"/>
      <c r="J29" s="113"/>
      <c r="K29" s="24"/>
      <c r="L29" s="53"/>
    </row>
    <row r="30" spans="2:12" x14ac:dyDescent="0.25">
      <c r="B30" s="101"/>
      <c r="C30" s="66"/>
      <c r="D30" s="67"/>
      <c r="E30" s="67"/>
      <c r="F30" s="67"/>
      <c r="G30" s="111"/>
      <c r="H30" s="68"/>
      <c r="I30" s="10"/>
      <c r="J30" s="114" t="s">
        <v>6</v>
      </c>
      <c r="K30" s="72" t="s">
        <v>5</v>
      </c>
      <c r="L30" s="69">
        <f>SUM(L14:L14)</f>
        <v>180000</v>
      </c>
    </row>
    <row r="31" spans="2:12" ht="36.6" customHeight="1" x14ac:dyDescent="0.25">
      <c r="B31" s="88" t="s">
        <v>4</v>
      </c>
      <c r="C31" s="534" t="s">
        <v>471</v>
      </c>
      <c r="D31" s="535"/>
      <c r="E31" s="535"/>
      <c r="F31" s="535"/>
      <c r="G31" s="535"/>
      <c r="H31" s="535"/>
      <c r="I31" s="535"/>
      <c r="J31" s="535"/>
      <c r="K31" s="535"/>
      <c r="L31" s="536"/>
    </row>
    <row r="32" spans="2:12" x14ac:dyDescent="0.25">
      <c r="B32" s="136"/>
      <c r="C32" s="137"/>
      <c r="D32" s="138"/>
      <c r="E32" s="138"/>
      <c r="F32" s="138"/>
      <c r="G32" s="138"/>
      <c r="H32" s="138"/>
      <c r="I32" s="138"/>
      <c r="J32" s="138"/>
      <c r="K32" s="138"/>
      <c r="L32" s="141"/>
    </row>
    <row r="33" spans="2:12" x14ac:dyDescent="0.25">
      <c r="B33" s="136"/>
      <c r="C33" s="139"/>
      <c r="D33" s="140"/>
      <c r="E33" s="140"/>
      <c r="F33" s="140"/>
      <c r="G33" s="140"/>
      <c r="H33" s="117"/>
      <c r="I33" s="117"/>
      <c r="J33" s="117"/>
      <c r="K33" s="117"/>
      <c r="L33" s="118"/>
    </row>
    <row r="34" spans="2:12" x14ac:dyDescent="0.25">
      <c r="B34" s="73"/>
      <c r="C34" s="445"/>
      <c r="D34" s="444"/>
      <c r="E34" s="444"/>
      <c r="F34" s="444"/>
      <c r="G34" s="444"/>
      <c r="H34" s="441" t="s">
        <v>3</v>
      </c>
      <c r="I34" s="442"/>
      <c r="J34" s="442"/>
      <c r="K34" s="442"/>
      <c r="L34" s="443"/>
    </row>
    <row r="35" spans="2:12" x14ac:dyDescent="0.25">
      <c r="B35" s="25"/>
      <c r="C35" s="450"/>
      <c r="D35" s="480"/>
      <c r="E35" s="480"/>
      <c r="F35" s="480"/>
      <c r="G35" s="451"/>
      <c r="H35" s="454"/>
      <c r="I35" s="455"/>
      <c r="J35" s="455"/>
      <c r="K35" s="455"/>
      <c r="L35" s="456"/>
    </row>
    <row r="36" spans="2:12" x14ac:dyDescent="0.25">
      <c r="B36" s="78" t="s">
        <v>2</v>
      </c>
      <c r="C36" s="452"/>
      <c r="D36" s="481"/>
      <c r="E36" s="481"/>
      <c r="F36" s="481"/>
      <c r="G36" s="453"/>
      <c r="H36" s="457"/>
      <c r="I36" s="458"/>
      <c r="J36" s="458"/>
      <c r="K36" s="458"/>
      <c r="L36" s="459"/>
    </row>
    <row r="37" spans="2:12" x14ac:dyDescent="0.25">
      <c r="B37" s="78" t="s">
        <v>1</v>
      </c>
      <c r="C37" s="440" t="s">
        <v>216</v>
      </c>
      <c r="D37" s="440"/>
      <c r="E37" s="440"/>
      <c r="F37" s="440"/>
      <c r="G37" s="440"/>
      <c r="H37" s="441" t="s">
        <v>340</v>
      </c>
      <c r="I37" s="442"/>
      <c r="J37" s="442"/>
      <c r="K37" s="442"/>
      <c r="L37" s="443"/>
    </row>
    <row r="38" spans="2:12" x14ac:dyDescent="0.25">
      <c r="B38" s="83" t="s">
        <v>0</v>
      </c>
      <c r="C38" s="444" t="s">
        <v>271</v>
      </c>
      <c r="D38" s="444"/>
      <c r="E38" s="444"/>
      <c r="F38" s="444"/>
      <c r="G38" s="444"/>
      <c r="H38" s="445" t="s">
        <v>32</v>
      </c>
      <c r="I38" s="444"/>
      <c r="J38" s="444"/>
      <c r="K38" s="444"/>
      <c r="L38" s="446"/>
    </row>
  </sheetData>
  <mergeCells count="22">
    <mergeCell ref="C8:G8"/>
    <mergeCell ref="K8:L8"/>
    <mergeCell ref="B1:L1"/>
    <mergeCell ref="B2:L2"/>
    <mergeCell ref="B3:L3"/>
    <mergeCell ref="B4:L4"/>
    <mergeCell ref="C6:H6"/>
    <mergeCell ref="C17:E18"/>
    <mergeCell ref="C31:L31"/>
    <mergeCell ref="C34:G34"/>
    <mergeCell ref="H34:L34"/>
    <mergeCell ref="C11:G12"/>
    <mergeCell ref="D13:E13"/>
    <mergeCell ref="F13:G13"/>
    <mergeCell ref="D14:E14"/>
    <mergeCell ref="F14:G14"/>
    <mergeCell ref="C35:G36"/>
    <mergeCell ref="H35:L36"/>
    <mergeCell ref="C37:G37"/>
    <mergeCell ref="H37:L37"/>
    <mergeCell ref="C38:G38"/>
    <mergeCell ref="H38:L38"/>
  </mergeCells>
  <pageMargins left="0.23622047244094491" right="0.23622047244094491" top="1.1417322834645669" bottom="0.74803149606299213" header="0.31496062992125984" footer="0.31496062992125984"/>
  <pageSetup paperSize="9" scale="65"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0396-0AEE-4967-B182-1877672F1118}">
  <sheetPr>
    <tabColor theme="9"/>
    <pageSetUpPr fitToPage="1"/>
  </sheetPr>
  <dimension ref="B1:R55"/>
  <sheetViews>
    <sheetView view="pageBreakPreview" topLeftCell="A4" zoomScale="70" zoomScaleNormal="100" zoomScaleSheetLayoutView="70" workbookViewId="0">
      <selection activeCell="L23" sqref="L23"/>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398</v>
      </c>
      <c r="L4" s="28"/>
      <c r="M4" s="29"/>
      <c r="N4" s="26" t="s">
        <v>498</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ht="39" customHeight="1" x14ac:dyDescent="0.25">
      <c r="B8" s="277"/>
      <c r="C8" s="278"/>
      <c r="D8" s="92"/>
      <c r="E8" s="92"/>
      <c r="F8" s="92"/>
      <c r="G8" s="92"/>
      <c r="H8" s="92"/>
      <c r="I8" s="92"/>
      <c r="J8" s="33"/>
      <c r="K8" s="16"/>
      <c r="L8" s="17"/>
      <c r="M8" s="16"/>
      <c r="N8" s="15"/>
    </row>
    <row r="9" spans="2:18" x14ac:dyDescent="0.25">
      <c r="B9" s="78"/>
      <c r="C9" s="523" t="s">
        <v>497</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17.2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410</v>
      </c>
      <c r="D13" s="564"/>
      <c r="E13" s="564"/>
      <c r="F13" s="564"/>
      <c r="G13" s="564"/>
      <c r="H13" s="564"/>
      <c r="I13" s="439"/>
      <c r="J13" s="279"/>
      <c r="K13" s="25"/>
      <c r="L13" s="79"/>
      <c r="M13" s="25"/>
      <c r="N13" s="80"/>
    </row>
    <row r="14" spans="2:18" ht="15.75" customHeight="1" x14ac:dyDescent="0.25">
      <c r="B14" s="78"/>
      <c r="C14" s="438" t="s">
        <v>496</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33" customHeight="1" x14ac:dyDescent="0.25">
      <c r="B17" s="78"/>
      <c r="C17" s="256" t="s">
        <v>15</v>
      </c>
      <c r="D17" s="256" t="s">
        <v>14</v>
      </c>
      <c r="E17" s="256" t="s">
        <v>13</v>
      </c>
      <c r="F17" s="256" t="s">
        <v>12</v>
      </c>
      <c r="G17" s="469" t="s">
        <v>11</v>
      </c>
      <c r="H17" s="469"/>
      <c r="I17" s="231" t="s">
        <v>10</v>
      </c>
      <c r="J17" s="36"/>
      <c r="K17" s="25"/>
      <c r="L17" s="79"/>
      <c r="M17" s="25"/>
      <c r="N17" s="80"/>
    </row>
    <row r="18" spans="2:14" ht="52.9" customHeight="1" x14ac:dyDescent="0.25">
      <c r="B18" s="78"/>
      <c r="C18" s="494">
        <v>80</v>
      </c>
      <c r="D18" s="220" t="s">
        <v>51</v>
      </c>
      <c r="E18" s="220" t="s">
        <v>145</v>
      </c>
      <c r="F18" s="282" t="s">
        <v>499</v>
      </c>
      <c r="G18" s="506" t="s">
        <v>391</v>
      </c>
      <c r="H18" s="506"/>
      <c r="I18" s="283"/>
      <c r="J18" s="219">
        <v>360</v>
      </c>
      <c r="K18" s="25"/>
      <c r="L18" s="98">
        <v>250</v>
      </c>
      <c r="M18" s="25"/>
      <c r="N18" s="82">
        <f>J18*L18</f>
        <v>90000</v>
      </c>
    </row>
    <row r="19" spans="2:14" ht="107.45" customHeight="1" x14ac:dyDescent="0.25">
      <c r="B19" s="78"/>
      <c r="C19" s="495"/>
      <c r="D19" s="220" t="s">
        <v>9</v>
      </c>
      <c r="E19" s="220" t="s">
        <v>147</v>
      </c>
      <c r="F19" s="282" t="s">
        <v>499</v>
      </c>
      <c r="G19" s="506" t="s">
        <v>390</v>
      </c>
      <c r="H19" s="506"/>
      <c r="I19" s="283"/>
      <c r="J19" s="219">
        <v>360</v>
      </c>
      <c r="K19" s="25"/>
      <c r="L19" s="81">
        <v>450</v>
      </c>
      <c r="M19" s="25"/>
      <c r="N19" s="82">
        <f t="shared" ref="N19:N20" si="0">J19*L19</f>
        <v>162000</v>
      </c>
    </row>
    <row r="20" spans="2:14" ht="46.5" customHeight="1" x14ac:dyDescent="0.25">
      <c r="B20" s="78"/>
      <c r="C20" s="495"/>
      <c r="D20" s="220" t="s">
        <v>133</v>
      </c>
      <c r="E20" s="220" t="s">
        <v>145</v>
      </c>
      <c r="F20" s="282" t="s">
        <v>499</v>
      </c>
      <c r="G20" s="506" t="s">
        <v>392</v>
      </c>
      <c r="H20" s="506"/>
      <c r="I20" s="283"/>
      <c r="J20" s="219">
        <v>360</v>
      </c>
      <c r="K20" s="25"/>
      <c r="L20" s="98">
        <v>250</v>
      </c>
      <c r="M20" s="25"/>
      <c r="N20" s="82">
        <f t="shared" si="0"/>
        <v>90000</v>
      </c>
    </row>
    <row r="21" spans="2:14" ht="18" customHeight="1" x14ac:dyDescent="0.25">
      <c r="B21" s="78"/>
      <c r="C21" s="529"/>
      <c r="D21" s="530"/>
      <c r="E21" s="530"/>
      <c r="F21" s="530"/>
      <c r="G21" s="530"/>
      <c r="H21" s="530"/>
      <c r="I21" s="473"/>
      <c r="J21" s="257"/>
      <c r="K21" s="24"/>
      <c r="L21" s="79"/>
      <c r="M21" s="25"/>
      <c r="N21" s="80"/>
    </row>
    <row r="22" spans="2:14" ht="15.75" customHeight="1" x14ac:dyDescent="0.25">
      <c r="B22" s="78"/>
      <c r="C22" s="221"/>
      <c r="D22" s="221"/>
      <c r="E22" s="221"/>
      <c r="F22" s="221"/>
      <c r="G22" s="221"/>
      <c r="H22" s="221"/>
      <c r="I22" s="135"/>
      <c r="J22" s="135"/>
      <c r="K22" s="24"/>
      <c r="L22" s="79"/>
      <c r="M22" s="25"/>
      <c r="N22" s="80"/>
    </row>
    <row r="23" spans="2:14" ht="15.75" customHeight="1" x14ac:dyDescent="0.25">
      <c r="B23" s="78"/>
      <c r="C23" s="591" t="s">
        <v>151</v>
      </c>
      <c r="D23" s="592"/>
      <c r="E23" s="592"/>
      <c r="F23" s="592"/>
      <c r="G23" s="592"/>
      <c r="H23" s="592"/>
      <c r="I23" s="596"/>
      <c r="J23" s="135"/>
      <c r="K23" s="25"/>
      <c r="L23" s="79"/>
      <c r="M23" s="25"/>
      <c r="N23" s="80"/>
    </row>
    <row r="24" spans="2:14" ht="15" customHeight="1" x14ac:dyDescent="0.25">
      <c r="B24" s="78"/>
      <c r="C24" s="338" t="s">
        <v>419</v>
      </c>
      <c r="D24"/>
      <c r="E24"/>
      <c r="F24"/>
      <c r="G24" s="339"/>
      <c r="H24" s="339"/>
      <c r="I24" s="340"/>
      <c r="J24" s="314"/>
      <c r="K24" s="25"/>
      <c r="L24" s="79"/>
      <c r="M24" s="25"/>
      <c r="N24" s="80"/>
    </row>
    <row r="25" spans="2:14" ht="15.75" customHeight="1" x14ac:dyDescent="0.25">
      <c r="B25" s="78"/>
      <c r="C25" s="341" t="s">
        <v>420</v>
      </c>
      <c r="D25"/>
      <c r="E25"/>
      <c r="F25"/>
      <c r="G25" s="339"/>
      <c r="H25" s="339"/>
      <c r="I25" s="340"/>
      <c r="J25" s="252"/>
      <c r="K25" s="25"/>
      <c r="L25" s="79"/>
      <c r="M25" s="25"/>
      <c r="N25" s="80"/>
    </row>
    <row r="26" spans="2:14" ht="15.75" customHeight="1" x14ac:dyDescent="0.25">
      <c r="B26" s="78"/>
      <c r="C26" s="341" t="s">
        <v>160</v>
      </c>
      <c r="D26"/>
      <c r="E26"/>
      <c r="F26"/>
      <c r="G26" s="339"/>
      <c r="H26" s="339"/>
      <c r="I26" s="340"/>
      <c r="J26" s="314"/>
      <c r="K26" s="25"/>
      <c r="L26" s="79"/>
      <c r="M26" s="25"/>
      <c r="N26" s="80"/>
    </row>
    <row r="27" spans="2:14" ht="15.75" customHeight="1" x14ac:dyDescent="0.25">
      <c r="B27" s="78"/>
      <c r="C27" s="341" t="s">
        <v>421</v>
      </c>
      <c r="D27"/>
      <c r="E27"/>
      <c r="F27"/>
      <c r="G27" s="339"/>
      <c r="H27" s="339"/>
      <c r="I27" s="340"/>
      <c r="J27" s="314"/>
      <c r="K27" s="25"/>
      <c r="L27" s="79"/>
      <c r="M27" s="25"/>
      <c r="N27" s="80"/>
    </row>
    <row r="28" spans="2:14" ht="15.75" customHeight="1" x14ac:dyDescent="0.25">
      <c r="B28" s="78"/>
      <c r="C28" s="593" t="s">
        <v>422</v>
      </c>
      <c r="D28" s="594"/>
      <c r="E28" s="594"/>
      <c r="F28" s="594"/>
      <c r="G28" s="594"/>
      <c r="H28" s="594"/>
      <c r="I28" s="595"/>
      <c r="J28" s="94"/>
      <c r="K28" s="25"/>
      <c r="L28" s="79"/>
      <c r="M28" s="25"/>
      <c r="N28" s="80"/>
    </row>
    <row r="29" spans="2:14" ht="15.75" customHeight="1" x14ac:dyDescent="0.25">
      <c r="B29" s="78"/>
      <c r="C29" s="593" t="s">
        <v>153</v>
      </c>
      <c r="D29" s="594"/>
      <c r="E29" s="594"/>
      <c r="F29" s="594"/>
      <c r="G29" s="594"/>
      <c r="H29" s="594"/>
      <c r="I29" s="595"/>
      <c r="J29" s="315"/>
      <c r="K29" s="25"/>
      <c r="L29" s="79"/>
      <c r="M29" s="25"/>
      <c r="N29" s="80"/>
    </row>
    <row r="30" spans="2:14" ht="15.75" customHeight="1" x14ac:dyDescent="0.25">
      <c r="B30" s="78"/>
      <c r="C30" s="342"/>
      <c r="D30" s="343"/>
      <c r="E30" s="343"/>
      <c r="F30" s="343"/>
      <c r="G30" s="343"/>
      <c r="H30" s="343"/>
      <c r="I30" s="344"/>
      <c r="J30" s="315"/>
      <c r="K30" s="25"/>
      <c r="L30" s="79"/>
      <c r="M30" s="25"/>
      <c r="N30" s="80"/>
    </row>
    <row r="31" spans="2:14" ht="15.75" customHeight="1" x14ac:dyDescent="0.25">
      <c r="B31" s="78"/>
      <c r="C31" s="591" t="s">
        <v>155</v>
      </c>
      <c r="D31" s="592"/>
      <c r="E31" s="592"/>
      <c r="F31" s="592"/>
      <c r="G31" s="592"/>
      <c r="H31" s="592"/>
      <c r="I31" s="596"/>
      <c r="J31" s="315"/>
      <c r="K31" s="25"/>
      <c r="L31" s="79"/>
      <c r="M31" s="25"/>
      <c r="N31" s="80"/>
    </row>
    <row r="32" spans="2:14" ht="15.75" customHeight="1" x14ac:dyDescent="0.25">
      <c r="B32" s="78"/>
      <c r="C32" s="588" t="s">
        <v>423</v>
      </c>
      <c r="D32" s="589"/>
      <c r="E32" s="589"/>
      <c r="F32" s="589"/>
      <c r="G32" s="589"/>
      <c r="H32" s="589"/>
      <c r="I32" s="590"/>
      <c r="J32" s="315"/>
      <c r="K32" s="25"/>
      <c r="L32" s="79"/>
      <c r="M32" s="25"/>
      <c r="N32" s="80"/>
    </row>
    <row r="33" spans="2:15" ht="15.75" customHeight="1" x14ac:dyDescent="0.25">
      <c r="B33" s="78"/>
      <c r="C33" s="593" t="s">
        <v>156</v>
      </c>
      <c r="D33" s="594"/>
      <c r="E33" s="594"/>
      <c r="F33" s="594"/>
      <c r="G33" s="594"/>
      <c r="H33" s="594"/>
      <c r="I33" s="595"/>
      <c r="J33" s="315"/>
      <c r="K33" s="25"/>
      <c r="L33" s="79"/>
      <c r="M33" s="25"/>
      <c r="N33" s="80"/>
    </row>
    <row r="34" spans="2:15" ht="15.75" customHeight="1" x14ac:dyDescent="0.25">
      <c r="B34" s="78"/>
      <c r="C34" s="588" t="s">
        <v>157</v>
      </c>
      <c r="D34" s="589"/>
      <c r="E34" s="589"/>
      <c r="F34" s="589"/>
      <c r="G34" s="589"/>
      <c r="H34" s="589"/>
      <c r="I34" s="590"/>
      <c r="J34" s="315"/>
      <c r="K34" s="25"/>
      <c r="L34" s="79"/>
      <c r="M34" s="25"/>
      <c r="N34" s="80"/>
    </row>
    <row r="35" spans="2:15" ht="15.75" customHeight="1" x14ac:dyDescent="0.25">
      <c r="B35" s="78"/>
      <c r="C35" s="588" t="s">
        <v>158</v>
      </c>
      <c r="D35" s="589"/>
      <c r="E35" s="589"/>
      <c r="F35" s="589"/>
      <c r="G35" s="589"/>
      <c r="H35" s="589"/>
      <c r="I35" s="590"/>
      <c r="J35" s="315"/>
      <c r="K35" s="25"/>
      <c r="L35" s="79"/>
      <c r="M35" s="25"/>
      <c r="N35" s="80"/>
    </row>
    <row r="36" spans="2:15" ht="15.75" customHeight="1" x14ac:dyDescent="0.25">
      <c r="B36" s="78"/>
      <c r="C36" s="588"/>
      <c r="D36" s="589"/>
      <c r="E36" s="589"/>
      <c r="F36" s="589"/>
      <c r="G36" s="589"/>
      <c r="H36" s="589"/>
      <c r="I36" s="590"/>
      <c r="J36" s="315"/>
      <c r="K36" s="25"/>
      <c r="L36" s="79"/>
      <c r="M36" s="25"/>
      <c r="N36" s="80"/>
    </row>
    <row r="37" spans="2:15" ht="15.75" customHeight="1" x14ac:dyDescent="0.25">
      <c r="B37" s="78"/>
      <c r="C37" s="588" t="s">
        <v>424</v>
      </c>
      <c r="D37" s="589"/>
      <c r="E37" s="589"/>
      <c r="F37" s="589"/>
      <c r="G37" s="589"/>
      <c r="H37" s="589"/>
      <c r="I37" s="590"/>
      <c r="J37" s="315"/>
      <c r="K37" s="25"/>
      <c r="L37" s="79"/>
      <c r="M37" s="25"/>
      <c r="N37" s="80"/>
    </row>
    <row r="38" spans="2:15" ht="15.75" customHeight="1" x14ac:dyDescent="0.25">
      <c r="B38" s="78"/>
      <c r="C38" s="567"/>
      <c r="D38" s="568"/>
      <c r="E38" s="568"/>
      <c r="F38" s="568"/>
      <c r="G38" s="568"/>
      <c r="H38" s="568"/>
      <c r="I38" s="569"/>
      <c r="J38" s="315"/>
      <c r="K38" s="25"/>
      <c r="L38" s="79"/>
      <c r="M38" s="25"/>
      <c r="N38" s="80"/>
    </row>
    <row r="39" spans="2:15" ht="15.75" customHeight="1" x14ac:dyDescent="0.25">
      <c r="B39" s="78"/>
      <c r="C39" s="591" t="s">
        <v>162</v>
      </c>
      <c r="D39" s="592"/>
      <c r="E39" s="592"/>
      <c r="F39" s="592"/>
      <c r="G39" s="592"/>
      <c r="H39" s="339"/>
      <c r="I39" s="347"/>
      <c r="J39" s="315"/>
      <c r="K39" s="25"/>
      <c r="L39" s="79"/>
      <c r="M39" s="25"/>
      <c r="N39" s="80"/>
    </row>
    <row r="40" spans="2:15" ht="15.75" customHeight="1" x14ac:dyDescent="0.25">
      <c r="B40" s="78"/>
      <c r="C40" s="593" t="s">
        <v>163</v>
      </c>
      <c r="D40" s="594"/>
      <c r="E40" s="594"/>
      <c r="F40" s="594"/>
      <c r="G40" s="594"/>
      <c r="H40" s="343"/>
      <c r="I40" s="345"/>
      <c r="J40" s="315"/>
      <c r="K40" s="25"/>
      <c r="L40" s="79"/>
      <c r="M40" s="25"/>
      <c r="N40" s="80"/>
    </row>
    <row r="41" spans="2:15" ht="15.75" customHeight="1" x14ac:dyDescent="0.25">
      <c r="B41" s="78"/>
      <c r="C41" s="593" t="s">
        <v>425</v>
      </c>
      <c r="D41" s="594"/>
      <c r="E41" s="594"/>
      <c r="F41" s="594"/>
      <c r="G41" s="594"/>
      <c r="H41" s="343"/>
      <c r="I41" s="345"/>
      <c r="J41" s="315"/>
      <c r="K41" s="25"/>
      <c r="L41" s="79"/>
      <c r="M41" s="25"/>
      <c r="N41" s="80"/>
    </row>
    <row r="42" spans="2:15" ht="15.6" customHeight="1" x14ac:dyDescent="0.25">
      <c r="B42" s="78"/>
      <c r="C42" s="288"/>
      <c r="D42" s="289"/>
      <c r="E42" s="289"/>
      <c r="F42" s="289"/>
      <c r="G42" s="289"/>
      <c r="H42" s="289"/>
      <c r="I42" s="115"/>
      <c r="J42" s="252"/>
      <c r="K42" s="25"/>
      <c r="L42" s="79"/>
      <c r="M42" s="25"/>
      <c r="N42" s="80"/>
    </row>
    <row r="43" spans="2:15" x14ac:dyDescent="0.25">
      <c r="B43" s="78"/>
      <c r="C43" s="352" t="s">
        <v>426</v>
      </c>
      <c r="D43" s="343"/>
      <c r="E43" s="343"/>
      <c r="F43" s="343"/>
      <c r="G43" s="343"/>
      <c r="H43" s="343"/>
      <c r="I43" s="115"/>
      <c r="J43" s="94"/>
      <c r="K43" s="25"/>
      <c r="L43" s="79"/>
      <c r="M43" s="25"/>
      <c r="N43" s="80"/>
    </row>
    <row r="44" spans="2:15" ht="34.15" customHeight="1" x14ac:dyDescent="0.25">
      <c r="B44" s="78"/>
      <c r="C44" s="570" t="s">
        <v>427</v>
      </c>
      <c r="D44" s="571"/>
      <c r="E44" s="571"/>
      <c r="F44" s="571"/>
      <c r="G44" s="571"/>
      <c r="H44" s="571"/>
      <c r="I44" s="572"/>
      <c r="J44" s="252"/>
      <c r="K44" s="25"/>
      <c r="L44" s="79"/>
      <c r="M44" s="25"/>
      <c r="N44" s="80"/>
    </row>
    <row r="45" spans="2:15" ht="15.75" customHeight="1" x14ac:dyDescent="0.25">
      <c r="B45" s="78"/>
      <c r="C45" s="349"/>
      <c r="D45"/>
      <c r="E45"/>
      <c r="F45"/>
      <c r="G45"/>
      <c r="H45" s="355"/>
      <c r="I45" s="94"/>
      <c r="J45" s="252"/>
      <c r="K45" s="25"/>
      <c r="L45" s="79"/>
      <c r="M45" s="25"/>
      <c r="N45" s="80"/>
    </row>
    <row r="46" spans="2:15" ht="15.75" customHeight="1" x14ac:dyDescent="0.25">
      <c r="B46" s="78"/>
      <c r="C46" s="353" t="s">
        <v>435</v>
      </c>
      <c r="D46" s="351"/>
      <c r="E46" s="351"/>
      <c r="F46" s="351"/>
      <c r="G46" s="351"/>
      <c r="H46" s="351"/>
      <c r="I46" s="252"/>
      <c r="J46" s="252"/>
      <c r="K46" s="25"/>
      <c r="L46" s="79"/>
      <c r="M46" s="25"/>
      <c r="N46" s="80"/>
    </row>
    <row r="47" spans="2:15" ht="18" customHeight="1" x14ac:dyDescent="0.25">
      <c r="B47" s="78"/>
      <c r="C47" s="570" t="s">
        <v>429</v>
      </c>
      <c r="D47" s="573"/>
      <c r="E47" s="573"/>
      <c r="F47" s="573"/>
      <c r="G47" s="573"/>
      <c r="H47" s="574"/>
      <c r="I47" s="252"/>
      <c r="J47" s="252"/>
      <c r="K47" s="25"/>
      <c r="L47" s="79"/>
      <c r="M47" s="25"/>
      <c r="N47" s="80"/>
      <c r="O47" s="5"/>
    </row>
    <row r="48" spans="2:15" ht="18" customHeight="1" x14ac:dyDescent="0.25">
      <c r="B48" s="78"/>
      <c r="C48" s="357"/>
      <c r="D48"/>
      <c r="E48"/>
      <c r="F48"/>
      <c r="G48"/>
      <c r="H48" s="355"/>
      <c r="I48" s="252"/>
      <c r="J48" s="252"/>
      <c r="K48" s="25"/>
      <c r="L48" s="79"/>
      <c r="M48" s="25"/>
      <c r="N48" s="80"/>
      <c r="O48" s="5"/>
    </row>
    <row r="49" spans="2:15" ht="18" customHeight="1" x14ac:dyDescent="0.25">
      <c r="B49" s="78"/>
      <c r="C49" s="570" t="s">
        <v>436</v>
      </c>
      <c r="D49" s="571"/>
      <c r="E49" s="571"/>
      <c r="F49" s="571"/>
      <c r="G49" s="571"/>
      <c r="H49" s="571"/>
      <c r="I49" s="572"/>
      <c r="J49" s="252"/>
      <c r="K49" s="25"/>
      <c r="L49" s="79"/>
      <c r="M49" s="25"/>
      <c r="N49" s="80"/>
      <c r="O49" s="5"/>
    </row>
    <row r="50" spans="2:15" x14ac:dyDescent="0.25">
      <c r="B50" s="83"/>
      <c r="C50" s="475"/>
      <c r="D50" s="518"/>
      <c r="E50" s="518"/>
      <c r="F50" s="518"/>
      <c r="G50" s="518"/>
      <c r="H50" s="518"/>
      <c r="I50" s="519"/>
      <c r="J50" s="252"/>
      <c r="K50" s="25"/>
      <c r="L50" s="318" t="s">
        <v>6</v>
      </c>
      <c r="M50" s="319" t="s">
        <v>5</v>
      </c>
      <c r="N50" s="155">
        <f>SUM(N16:N47)</f>
        <v>342000</v>
      </c>
    </row>
    <row r="51" spans="2:15" x14ac:dyDescent="0.25">
      <c r="B51" s="88" t="s">
        <v>4</v>
      </c>
      <c r="C51" s="585" t="s">
        <v>497</v>
      </c>
      <c r="D51" s="586"/>
      <c r="E51" s="586"/>
      <c r="F51" s="586"/>
      <c r="G51" s="586"/>
      <c r="H51" s="586"/>
      <c r="I51" s="586"/>
      <c r="J51" s="586"/>
      <c r="K51" s="586"/>
      <c r="L51" s="586"/>
      <c r="M51" s="586"/>
      <c r="N51" s="587"/>
    </row>
    <row r="52" spans="2:15" x14ac:dyDescent="0.25">
      <c r="B52" s="73"/>
      <c r="C52" s="445"/>
      <c r="D52" s="444"/>
      <c r="E52" s="444"/>
      <c r="F52" s="444"/>
      <c r="G52" s="444"/>
      <c r="H52" s="444"/>
      <c r="I52" s="446"/>
      <c r="J52" s="441" t="s">
        <v>3</v>
      </c>
      <c r="K52" s="442"/>
      <c r="L52" s="442"/>
      <c r="M52" s="442"/>
      <c r="N52" s="443"/>
    </row>
    <row r="53" spans="2:15" ht="46.5" customHeight="1" x14ac:dyDescent="0.25">
      <c r="B53" s="78" t="s">
        <v>2</v>
      </c>
      <c r="C53" s="507"/>
      <c r="D53" s="508"/>
      <c r="E53" s="508"/>
      <c r="F53" s="508"/>
      <c r="G53" s="508"/>
      <c r="H53" s="508"/>
      <c r="I53" s="509"/>
      <c r="J53" s="445"/>
      <c r="K53" s="444"/>
      <c r="L53" s="444"/>
      <c r="M53" s="444"/>
      <c r="N53" s="446"/>
    </row>
    <row r="54" spans="2:15" x14ac:dyDescent="0.25">
      <c r="B54" s="78" t="s">
        <v>1</v>
      </c>
      <c r="C54" s="513" t="s">
        <v>216</v>
      </c>
      <c r="D54" s="440"/>
      <c r="E54" s="440"/>
      <c r="F54" s="440"/>
      <c r="G54" s="440"/>
      <c r="H54" s="440"/>
      <c r="I54" s="514"/>
      <c r="J54" s="441" t="s">
        <v>340</v>
      </c>
      <c r="K54" s="442"/>
      <c r="L54" s="442"/>
      <c r="M54" s="442"/>
      <c r="N54" s="443"/>
    </row>
    <row r="55" spans="2:15" x14ac:dyDescent="0.25">
      <c r="B55" s="83" t="s">
        <v>0</v>
      </c>
      <c r="C55" s="507" t="s">
        <v>217</v>
      </c>
      <c r="D55" s="508"/>
      <c r="E55" s="508"/>
      <c r="F55" s="508"/>
      <c r="G55" s="508"/>
      <c r="H55" s="508"/>
      <c r="I55" s="509"/>
      <c r="J55" s="445" t="s">
        <v>32</v>
      </c>
      <c r="K55" s="444"/>
      <c r="L55" s="444"/>
      <c r="M55" s="444"/>
      <c r="N55" s="446"/>
    </row>
  </sheetData>
  <mergeCells count="44">
    <mergeCell ref="C16:G16"/>
    <mergeCell ref="B1:N1"/>
    <mergeCell ref="B2:N2"/>
    <mergeCell ref="B3:N3"/>
    <mergeCell ref="C7:I7"/>
    <mergeCell ref="M7:N7"/>
    <mergeCell ref="C9:I10"/>
    <mergeCell ref="C11:G11"/>
    <mergeCell ref="C12:G12"/>
    <mergeCell ref="C13:I13"/>
    <mergeCell ref="C14:I14"/>
    <mergeCell ref="C15:G15"/>
    <mergeCell ref="C33:I33"/>
    <mergeCell ref="G17:H17"/>
    <mergeCell ref="C18:C20"/>
    <mergeCell ref="G18:H18"/>
    <mergeCell ref="G19:H19"/>
    <mergeCell ref="G20:H20"/>
    <mergeCell ref="C21:I21"/>
    <mergeCell ref="C23:I23"/>
    <mergeCell ref="C28:I28"/>
    <mergeCell ref="C29:I29"/>
    <mergeCell ref="C31:I31"/>
    <mergeCell ref="C32:I32"/>
    <mergeCell ref="C51:N51"/>
    <mergeCell ref="C34:I34"/>
    <mergeCell ref="C35:I36"/>
    <mergeCell ref="C37:I37"/>
    <mergeCell ref="C38:I38"/>
    <mergeCell ref="C39:G39"/>
    <mergeCell ref="C40:G40"/>
    <mergeCell ref="C41:G41"/>
    <mergeCell ref="C44:I44"/>
    <mergeCell ref="C47:H47"/>
    <mergeCell ref="C49:I49"/>
    <mergeCell ref="C50:I50"/>
    <mergeCell ref="C55:I55"/>
    <mergeCell ref="J55:N55"/>
    <mergeCell ref="C52:I52"/>
    <mergeCell ref="J52:N52"/>
    <mergeCell ref="C53:I53"/>
    <mergeCell ref="J53:N53"/>
    <mergeCell ref="C54:I54"/>
    <mergeCell ref="J54:N54"/>
  </mergeCells>
  <printOptions horizontalCentered="1"/>
  <pageMargins left="0.25" right="0.25" top="0.75" bottom="0.75" header="0.3" footer="0.3"/>
  <pageSetup paperSize="9" scale="5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7C4E-D3E6-433C-B4CA-2FB1533211EF}">
  <sheetPr>
    <tabColor theme="9"/>
    <pageSetUpPr fitToPage="1"/>
  </sheetPr>
  <dimension ref="B1:R55"/>
  <sheetViews>
    <sheetView view="pageBreakPreview" topLeftCell="A6" zoomScale="70" zoomScaleNormal="100" zoomScaleSheetLayoutView="70" workbookViewId="0">
      <selection activeCell="C21" sqref="C21:I21"/>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398</v>
      </c>
      <c r="L4" s="28"/>
      <c r="M4" s="29"/>
      <c r="N4" s="26" t="s">
        <v>498</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ht="39" customHeight="1" x14ac:dyDescent="0.25">
      <c r="B8" s="277"/>
      <c r="C8" s="278"/>
      <c r="D8" s="92"/>
      <c r="E8" s="92"/>
      <c r="F8" s="92"/>
      <c r="G8" s="92"/>
      <c r="H8" s="92"/>
      <c r="I8" s="92"/>
      <c r="J8" s="33"/>
      <c r="K8" s="16"/>
      <c r="L8" s="17"/>
      <c r="M8" s="16"/>
      <c r="N8" s="15"/>
    </row>
    <row r="9" spans="2:18" x14ac:dyDescent="0.25">
      <c r="B9" s="78"/>
      <c r="C9" s="523" t="s">
        <v>497</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17.2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410</v>
      </c>
      <c r="D13" s="564"/>
      <c r="E13" s="564"/>
      <c r="F13" s="564"/>
      <c r="G13" s="564"/>
      <c r="H13" s="564"/>
      <c r="I13" s="439"/>
      <c r="J13" s="279"/>
      <c r="K13" s="25"/>
      <c r="L13" s="79"/>
      <c r="M13" s="25"/>
      <c r="N13" s="80"/>
    </row>
    <row r="14" spans="2:18" ht="15.75" customHeight="1" x14ac:dyDescent="0.25">
      <c r="B14" s="78"/>
      <c r="C14" s="438" t="s">
        <v>496</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33" customHeight="1" x14ac:dyDescent="0.25">
      <c r="B17" s="78"/>
      <c r="C17" s="256" t="s">
        <v>15</v>
      </c>
      <c r="D17" s="256" t="s">
        <v>14</v>
      </c>
      <c r="E17" s="256" t="s">
        <v>13</v>
      </c>
      <c r="F17" s="256" t="s">
        <v>12</v>
      </c>
      <c r="G17" s="469" t="s">
        <v>11</v>
      </c>
      <c r="H17" s="469"/>
      <c r="I17" s="231" t="s">
        <v>10</v>
      </c>
      <c r="J17" s="36"/>
      <c r="K17" s="25"/>
      <c r="L17" s="79"/>
      <c r="M17" s="25"/>
      <c r="N17" s="80"/>
    </row>
    <row r="18" spans="2:14" ht="107.45" customHeight="1" x14ac:dyDescent="0.25">
      <c r="B18" s="78"/>
      <c r="C18" s="212">
        <v>35</v>
      </c>
      <c r="D18" s="220" t="s">
        <v>9</v>
      </c>
      <c r="E18" s="220" t="s">
        <v>147</v>
      </c>
      <c r="F18" s="282" t="s">
        <v>499</v>
      </c>
      <c r="G18" s="506" t="s">
        <v>390</v>
      </c>
      <c r="H18" s="506"/>
      <c r="I18" s="283"/>
      <c r="J18" s="219">
        <v>35</v>
      </c>
      <c r="K18" s="25"/>
      <c r="L18" s="81">
        <v>450</v>
      </c>
      <c r="M18" s="25"/>
      <c r="N18" s="82">
        <f t="shared" ref="N18:N20" si="0">J18*L18</f>
        <v>15750</v>
      </c>
    </row>
    <row r="19" spans="2:14" ht="71.45" customHeight="1" x14ac:dyDescent="0.25">
      <c r="B19" s="78"/>
      <c r="C19" s="212">
        <v>360</v>
      </c>
      <c r="D19" s="220" t="s">
        <v>133</v>
      </c>
      <c r="E19" s="220" t="s">
        <v>145</v>
      </c>
      <c r="F19" s="282" t="s">
        <v>499</v>
      </c>
      <c r="G19" s="506" t="s">
        <v>392</v>
      </c>
      <c r="H19" s="506"/>
      <c r="I19" s="283"/>
      <c r="J19" s="219">
        <v>360</v>
      </c>
      <c r="K19" s="25"/>
      <c r="L19" s="81"/>
      <c r="M19" s="25"/>
      <c r="N19" s="82"/>
    </row>
    <row r="20" spans="2:14" ht="101.45" customHeight="1" x14ac:dyDescent="0.25">
      <c r="B20" s="78"/>
      <c r="C20" s="212">
        <v>35</v>
      </c>
      <c r="D20" s="220" t="s">
        <v>446</v>
      </c>
      <c r="E20" s="220" t="s">
        <v>147</v>
      </c>
      <c r="F20" s="282" t="s">
        <v>499</v>
      </c>
      <c r="G20" s="506" t="s">
        <v>390</v>
      </c>
      <c r="H20" s="506"/>
      <c r="I20" s="283"/>
      <c r="J20" s="219">
        <v>35</v>
      </c>
      <c r="K20" s="25"/>
      <c r="L20" s="98">
        <v>250</v>
      </c>
      <c r="M20" s="25"/>
      <c r="N20" s="82">
        <f t="shared" si="0"/>
        <v>8750</v>
      </c>
    </row>
    <row r="21" spans="2:14" ht="18" customHeight="1" x14ac:dyDescent="0.25">
      <c r="B21" s="78"/>
      <c r="C21" s="529"/>
      <c r="D21" s="530"/>
      <c r="E21" s="530"/>
      <c r="F21" s="530"/>
      <c r="G21" s="530"/>
      <c r="H21" s="530"/>
      <c r="I21" s="473"/>
      <c r="J21" s="257"/>
      <c r="K21" s="24"/>
      <c r="L21" s="79"/>
      <c r="M21" s="25"/>
      <c r="N21" s="80"/>
    </row>
    <row r="22" spans="2:14" ht="15.75" customHeight="1" x14ac:dyDescent="0.25">
      <c r="B22" s="78"/>
      <c r="C22" s="221"/>
      <c r="D22" s="221"/>
      <c r="E22" s="221"/>
      <c r="F22" s="221"/>
      <c r="G22" s="221"/>
      <c r="H22" s="221"/>
      <c r="I22" s="135"/>
      <c r="J22" s="135"/>
      <c r="K22" s="24"/>
      <c r="L22" s="79"/>
      <c r="M22" s="25"/>
      <c r="N22" s="80"/>
    </row>
    <row r="23" spans="2:14" ht="15.75" customHeight="1" x14ac:dyDescent="0.25">
      <c r="B23" s="78"/>
      <c r="C23" s="591" t="s">
        <v>151</v>
      </c>
      <c r="D23" s="592"/>
      <c r="E23" s="592"/>
      <c r="F23" s="592"/>
      <c r="G23" s="592"/>
      <c r="H23" s="592"/>
      <c r="I23" s="596"/>
      <c r="J23" s="135"/>
      <c r="K23" s="25"/>
      <c r="L23" s="79"/>
      <c r="M23" s="25"/>
      <c r="N23" s="80"/>
    </row>
    <row r="24" spans="2:14" ht="15" customHeight="1" x14ac:dyDescent="0.25">
      <c r="B24" s="78"/>
      <c r="C24" s="338" t="s">
        <v>419</v>
      </c>
      <c r="D24"/>
      <c r="E24"/>
      <c r="F24"/>
      <c r="G24" s="339"/>
      <c r="H24" s="339"/>
      <c r="I24" s="340"/>
      <c r="J24" s="314"/>
      <c r="K24" s="25"/>
      <c r="L24" s="79"/>
      <c r="M24" s="25"/>
      <c r="N24" s="80"/>
    </row>
    <row r="25" spans="2:14" ht="15.75" customHeight="1" x14ac:dyDescent="0.25">
      <c r="B25" s="78"/>
      <c r="C25" s="341" t="s">
        <v>420</v>
      </c>
      <c r="D25"/>
      <c r="E25"/>
      <c r="F25"/>
      <c r="G25" s="339"/>
      <c r="H25" s="339"/>
      <c r="I25" s="340"/>
      <c r="J25" s="252"/>
      <c r="K25" s="25"/>
      <c r="L25" s="79"/>
      <c r="M25" s="25"/>
      <c r="N25" s="80"/>
    </row>
    <row r="26" spans="2:14" ht="15.75" customHeight="1" x14ac:dyDescent="0.25">
      <c r="B26" s="78"/>
      <c r="C26" s="341" t="s">
        <v>160</v>
      </c>
      <c r="D26"/>
      <c r="E26"/>
      <c r="F26"/>
      <c r="G26" s="339"/>
      <c r="H26" s="339"/>
      <c r="I26" s="340"/>
      <c r="J26" s="314"/>
      <c r="K26" s="25"/>
      <c r="L26" s="79"/>
      <c r="M26" s="25"/>
      <c r="N26" s="80"/>
    </row>
    <row r="27" spans="2:14" ht="15.75" customHeight="1" x14ac:dyDescent="0.25">
      <c r="B27" s="78"/>
      <c r="C27" s="341" t="s">
        <v>421</v>
      </c>
      <c r="D27"/>
      <c r="E27"/>
      <c r="F27"/>
      <c r="G27" s="339"/>
      <c r="H27" s="339"/>
      <c r="I27" s="340"/>
      <c r="J27" s="314"/>
      <c r="K27" s="25"/>
      <c r="L27" s="79"/>
      <c r="M27" s="25"/>
      <c r="N27" s="80"/>
    </row>
    <row r="28" spans="2:14" ht="15.75" customHeight="1" x14ac:dyDescent="0.25">
      <c r="B28" s="78"/>
      <c r="C28" s="593" t="s">
        <v>422</v>
      </c>
      <c r="D28" s="594"/>
      <c r="E28" s="594"/>
      <c r="F28" s="594"/>
      <c r="G28" s="594"/>
      <c r="H28" s="594"/>
      <c r="I28" s="595"/>
      <c r="J28" s="94"/>
      <c r="K28" s="25"/>
      <c r="L28" s="79"/>
      <c r="M28" s="25"/>
      <c r="N28" s="80"/>
    </row>
    <row r="29" spans="2:14" ht="15.75" customHeight="1" x14ac:dyDescent="0.25">
      <c r="B29" s="78"/>
      <c r="C29" s="593" t="s">
        <v>153</v>
      </c>
      <c r="D29" s="594"/>
      <c r="E29" s="594"/>
      <c r="F29" s="594"/>
      <c r="G29" s="594"/>
      <c r="H29" s="594"/>
      <c r="I29" s="595"/>
      <c r="J29" s="315"/>
      <c r="K29" s="25"/>
      <c r="L29" s="79"/>
      <c r="M29" s="25"/>
      <c r="N29" s="80"/>
    </row>
    <row r="30" spans="2:14" ht="15.75" customHeight="1" x14ac:dyDescent="0.25">
      <c r="B30" s="78"/>
      <c r="C30" s="342"/>
      <c r="D30" s="343"/>
      <c r="E30" s="343"/>
      <c r="F30" s="343"/>
      <c r="G30" s="343"/>
      <c r="H30" s="343"/>
      <c r="I30" s="344"/>
      <c r="J30" s="315"/>
      <c r="K30" s="25"/>
      <c r="L30" s="79"/>
      <c r="M30" s="25"/>
      <c r="N30" s="80"/>
    </row>
    <row r="31" spans="2:14" ht="15.75" customHeight="1" x14ac:dyDescent="0.25">
      <c r="B31" s="78"/>
      <c r="C31" s="591" t="s">
        <v>155</v>
      </c>
      <c r="D31" s="592"/>
      <c r="E31" s="592"/>
      <c r="F31" s="592"/>
      <c r="G31" s="592"/>
      <c r="H31" s="592"/>
      <c r="I31" s="596"/>
      <c r="J31" s="315"/>
      <c r="K31" s="25"/>
      <c r="L31" s="79"/>
      <c r="M31" s="25"/>
      <c r="N31" s="80"/>
    </row>
    <row r="32" spans="2:14" ht="15.75" customHeight="1" x14ac:dyDescent="0.25">
      <c r="B32" s="78"/>
      <c r="C32" s="588" t="s">
        <v>423</v>
      </c>
      <c r="D32" s="589"/>
      <c r="E32" s="589"/>
      <c r="F32" s="589"/>
      <c r="G32" s="589"/>
      <c r="H32" s="589"/>
      <c r="I32" s="590"/>
      <c r="J32" s="315"/>
      <c r="K32" s="25"/>
      <c r="L32" s="79"/>
      <c r="M32" s="25"/>
      <c r="N32" s="80"/>
    </row>
    <row r="33" spans="2:15" ht="15.75" customHeight="1" x14ac:dyDescent="0.25">
      <c r="B33" s="78"/>
      <c r="C33" s="593" t="s">
        <v>156</v>
      </c>
      <c r="D33" s="594"/>
      <c r="E33" s="594"/>
      <c r="F33" s="594"/>
      <c r="G33" s="594"/>
      <c r="H33" s="594"/>
      <c r="I33" s="595"/>
      <c r="J33" s="315"/>
      <c r="K33" s="25"/>
      <c r="L33" s="79"/>
      <c r="M33" s="25"/>
      <c r="N33" s="80"/>
    </row>
    <row r="34" spans="2:15" ht="15.75" customHeight="1" x14ac:dyDescent="0.25">
      <c r="B34" s="78"/>
      <c r="C34" s="588" t="s">
        <v>157</v>
      </c>
      <c r="D34" s="589"/>
      <c r="E34" s="589"/>
      <c r="F34" s="589"/>
      <c r="G34" s="589"/>
      <c r="H34" s="589"/>
      <c r="I34" s="590"/>
      <c r="J34" s="315"/>
      <c r="K34" s="25"/>
      <c r="L34" s="79"/>
      <c r="M34" s="25"/>
      <c r="N34" s="80"/>
    </row>
    <row r="35" spans="2:15" ht="15.75" customHeight="1" x14ac:dyDescent="0.25">
      <c r="B35" s="78"/>
      <c r="C35" s="588" t="s">
        <v>158</v>
      </c>
      <c r="D35" s="589"/>
      <c r="E35" s="589"/>
      <c r="F35" s="589"/>
      <c r="G35" s="589"/>
      <c r="H35" s="589"/>
      <c r="I35" s="590"/>
      <c r="J35" s="315"/>
      <c r="K35" s="25"/>
      <c r="L35" s="79"/>
      <c r="M35" s="25"/>
      <c r="N35" s="80"/>
    </row>
    <row r="36" spans="2:15" ht="15.75" customHeight="1" x14ac:dyDescent="0.25">
      <c r="B36" s="78"/>
      <c r="C36" s="588"/>
      <c r="D36" s="589"/>
      <c r="E36" s="589"/>
      <c r="F36" s="589"/>
      <c r="G36" s="589"/>
      <c r="H36" s="589"/>
      <c r="I36" s="590"/>
      <c r="J36" s="315"/>
      <c r="K36" s="25"/>
      <c r="L36" s="79"/>
      <c r="M36" s="25"/>
      <c r="N36" s="80"/>
    </row>
    <row r="37" spans="2:15" ht="15.75" customHeight="1" x14ac:dyDescent="0.25">
      <c r="B37" s="78"/>
      <c r="C37" s="588" t="s">
        <v>424</v>
      </c>
      <c r="D37" s="589"/>
      <c r="E37" s="589"/>
      <c r="F37" s="589"/>
      <c r="G37" s="589"/>
      <c r="H37" s="589"/>
      <c r="I37" s="590"/>
      <c r="J37" s="315"/>
      <c r="K37" s="25"/>
      <c r="L37" s="79"/>
      <c r="M37" s="25"/>
      <c r="N37" s="80"/>
    </row>
    <row r="38" spans="2:15" ht="15.75" customHeight="1" x14ac:dyDescent="0.25">
      <c r="B38" s="78"/>
      <c r="C38" s="567"/>
      <c r="D38" s="568"/>
      <c r="E38" s="568"/>
      <c r="F38" s="568"/>
      <c r="G38" s="568"/>
      <c r="H38" s="568"/>
      <c r="I38" s="569"/>
      <c r="J38" s="315"/>
      <c r="K38" s="25"/>
      <c r="L38" s="79"/>
      <c r="M38" s="25"/>
      <c r="N38" s="80"/>
    </row>
    <row r="39" spans="2:15" ht="15.75" customHeight="1" x14ac:dyDescent="0.25">
      <c r="B39" s="78"/>
      <c r="C39" s="591" t="s">
        <v>162</v>
      </c>
      <c r="D39" s="592"/>
      <c r="E39" s="592"/>
      <c r="F39" s="592"/>
      <c r="G39" s="592"/>
      <c r="H39" s="339"/>
      <c r="I39" s="347"/>
      <c r="J39" s="315"/>
      <c r="K39" s="25"/>
      <c r="L39" s="79"/>
      <c r="M39" s="25"/>
      <c r="N39" s="80"/>
    </row>
    <row r="40" spans="2:15" ht="15.75" customHeight="1" x14ac:dyDescent="0.25">
      <c r="B40" s="78"/>
      <c r="C40" s="593" t="s">
        <v>163</v>
      </c>
      <c r="D40" s="594"/>
      <c r="E40" s="594"/>
      <c r="F40" s="594"/>
      <c r="G40" s="594"/>
      <c r="H40" s="343"/>
      <c r="I40" s="345"/>
      <c r="J40" s="315"/>
      <c r="K40" s="25"/>
      <c r="L40" s="79"/>
      <c r="M40" s="25"/>
      <c r="N40" s="80"/>
    </row>
    <row r="41" spans="2:15" ht="15.75" customHeight="1" x14ac:dyDescent="0.25">
      <c r="B41" s="78"/>
      <c r="C41" s="593" t="s">
        <v>425</v>
      </c>
      <c r="D41" s="594"/>
      <c r="E41" s="594"/>
      <c r="F41" s="594"/>
      <c r="G41" s="594"/>
      <c r="H41" s="343"/>
      <c r="I41" s="345"/>
      <c r="J41" s="315"/>
      <c r="K41" s="25"/>
      <c r="L41" s="79"/>
      <c r="M41" s="25"/>
      <c r="N41" s="80"/>
    </row>
    <row r="42" spans="2:15" ht="15.6" customHeight="1" x14ac:dyDescent="0.25">
      <c r="B42" s="78"/>
      <c r="C42" s="288"/>
      <c r="D42" s="289"/>
      <c r="E42" s="289"/>
      <c r="F42" s="289"/>
      <c r="G42" s="289"/>
      <c r="H42" s="289"/>
      <c r="I42" s="115"/>
      <c r="J42" s="252"/>
      <c r="K42" s="25"/>
      <c r="L42" s="79"/>
      <c r="M42" s="25"/>
      <c r="N42" s="80"/>
    </row>
    <row r="43" spans="2:15" x14ac:dyDescent="0.25">
      <c r="B43" s="78"/>
      <c r="C43" s="352" t="s">
        <v>426</v>
      </c>
      <c r="D43" s="343"/>
      <c r="E43" s="343"/>
      <c r="F43" s="343"/>
      <c r="G43" s="343"/>
      <c r="H43" s="343"/>
      <c r="I43" s="115"/>
      <c r="J43" s="94"/>
      <c r="K43" s="25"/>
      <c r="L43" s="79"/>
      <c r="M43" s="25"/>
      <c r="N43" s="80"/>
    </row>
    <row r="44" spans="2:15" ht="34.15" customHeight="1" x14ac:dyDescent="0.25">
      <c r="B44" s="78"/>
      <c r="C44" s="570" t="s">
        <v>427</v>
      </c>
      <c r="D44" s="571"/>
      <c r="E44" s="571"/>
      <c r="F44" s="571"/>
      <c r="G44" s="571"/>
      <c r="H44" s="571"/>
      <c r="I44" s="572"/>
      <c r="J44" s="252"/>
      <c r="K44" s="25"/>
      <c r="L44" s="79"/>
      <c r="M44" s="25"/>
      <c r="N44" s="80"/>
    </row>
    <row r="45" spans="2:15" ht="15.75" customHeight="1" x14ac:dyDescent="0.25">
      <c r="B45" s="78"/>
      <c r="C45" s="349"/>
      <c r="D45"/>
      <c r="E45"/>
      <c r="F45"/>
      <c r="G45"/>
      <c r="H45" s="355"/>
      <c r="I45" s="94"/>
      <c r="J45" s="252"/>
      <c r="K45" s="25"/>
      <c r="L45" s="79"/>
      <c r="M45" s="25"/>
      <c r="N45" s="80"/>
    </row>
    <row r="46" spans="2:15" ht="15.75" customHeight="1" x14ac:dyDescent="0.25">
      <c r="B46" s="78"/>
      <c r="C46" s="353" t="s">
        <v>435</v>
      </c>
      <c r="D46" s="351"/>
      <c r="E46" s="351"/>
      <c r="F46" s="351"/>
      <c r="G46" s="351"/>
      <c r="H46" s="351"/>
      <c r="I46" s="252"/>
      <c r="J46" s="252"/>
      <c r="K46" s="25"/>
      <c r="L46" s="79"/>
      <c r="M46" s="25"/>
      <c r="N46" s="80"/>
    </row>
    <row r="47" spans="2:15" ht="18" customHeight="1" x14ac:dyDescent="0.25">
      <c r="B47" s="78"/>
      <c r="C47" s="570" t="s">
        <v>429</v>
      </c>
      <c r="D47" s="573"/>
      <c r="E47" s="573"/>
      <c r="F47" s="573"/>
      <c r="G47" s="573"/>
      <c r="H47" s="574"/>
      <c r="I47" s="252"/>
      <c r="J47" s="252"/>
      <c r="K47" s="25"/>
      <c r="L47" s="79"/>
      <c r="M47" s="25"/>
      <c r="N47" s="80"/>
      <c r="O47" s="5"/>
    </row>
    <row r="48" spans="2:15" ht="18" customHeight="1" x14ac:dyDescent="0.25">
      <c r="B48" s="78"/>
      <c r="C48" s="357"/>
      <c r="D48"/>
      <c r="E48"/>
      <c r="F48"/>
      <c r="G48"/>
      <c r="H48" s="355"/>
      <c r="I48" s="252"/>
      <c r="J48" s="252"/>
      <c r="K48" s="25"/>
      <c r="L48" s="79"/>
      <c r="M48" s="25"/>
      <c r="N48" s="80"/>
      <c r="O48" s="5"/>
    </row>
    <row r="49" spans="2:15" ht="18" customHeight="1" x14ac:dyDescent="0.25">
      <c r="B49" s="78"/>
      <c r="C49" s="570" t="s">
        <v>436</v>
      </c>
      <c r="D49" s="571"/>
      <c r="E49" s="571"/>
      <c r="F49" s="571"/>
      <c r="G49" s="571"/>
      <c r="H49" s="571"/>
      <c r="I49" s="572"/>
      <c r="J49" s="252"/>
      <c r="K49" s="25"/>
      <c r="L49" s="79"/>
      <c r="M49" s="25"/>
      <c r="N49" s="80"/>
      <c r="O49" s="5"/>
    </row>
    <row r="50" spans="2:15" x14ac:dyDescent="0.25">
      <c r="B50" s="83"/>
      <c r="C50" s="475"/>
      <c r="D50" s="518"/>
      <c r="E50" s="518"/>
      <c r="F50" s="518"/>
      <c r="G50" s="518"/>
      <c r="H50" s="518"/>
      <c r="I50" s="519"/>
      <c r="J50" s="252"/>
      <c r="K50" s="25"/>
      <c r="L50" s="318" t="s">
        <v>6</v>
      </c>
      <c r="M50" s="319" t="s">
        <v>5</v>
      </c>
      <c r="N50" s="155">
        <f>SUM(N16:N47)</f>
        <v>24500</v>
      </c>
    </row>
    <row r="51" spans="2:15" x14ac:dyDescent="0.25">
      <c r="B51" s="88" t="s">
        <v>4</v>
      </c>
      <c r="C51" s="585" t="s">
        <v>497</v>
      </c>
      <c r="D51" s="586"/>
      <c r="E51" s="586"/>
      <c r="F51" s="586"/>
      <c r="G51" s="586"/>
      <c r="H51" s="586"/>
      <c r="I51" s="586"/>
      <c r="J51" s="586"/>
      <c r="K51" s="586"/>
      <c r="L51" s="586"/>
      <c r="M51" s="586"/>
      <c r="N51" s="587"/>
    </row>
    <row r="52" spans="2:15" x14ac:dyDescent="0.25">
      <c r="B52" s="73"/>
      <c r="C52" s="445"/>
      <c r="D52" s="444"/>
      <c r="E52" s="444"/>
      <c r="F52" s="444"/>
      <c r="G52" s="444"/>
      <c r="H52" s="444"/>
      <c r="I52" s="446"/>
      <c r="J52" s="441" t="s">
        <v>3</v>
      </c>
      <c r="K52" s="442"/>
      <c r="L52" s="442"/>
      <c r="M52" s="442"/>
      <c r="N52" s="443"/>
    </row>
    <row r="53" spans="2:15" ht="46.5" customHeight="1" x14ac:dyDescent="0.25">
      <c r="B53" s="78" t="s">
        <v>2</v>
      </c>
      <c r="C53" s="507"/>
      <c r="D53" s="508"/>
      <c r="E53" s="508"/>
      <c r="F53" s="508"/>
      <c r="G53" s="508"/>
      <c r="H53" s="508"/>
      <c r="I53" s="509"/>
      <c r="J53" s="445"/>
      <c r="K53" s="444"/>
      <c r="L53" s="444"/>
      <c r="M53" s="444"/>
      <c r="N53" s="446"/>
    </row>
    <row r="54" spans="2:15" x14ac:dyDescent="0.25">
      <c r="B54" s="78" t="s">
        <v>1</v>
      </c>
      <c r="C54" s="513" t="s">
        <v>216</v>
      </c>
      <c r="D54" s="440"/>
      <c r="E54" s="440"/>
      <c r="F54" s="440"/>
      <c r="G54" s="440"/>
      <c r="H54" s="440"/>
      <c r="I54" s="514"/>
      <c r="J54" s="441" t="s">
        <v>340</v>
      </c>
      <c r="K54" s="442"/>
      <c r="L54" s="442"/>
      <c r="M54" s="442"/>
      <c r="N54" s="443"/>
    </row>
    <row r="55" spans="2:15" x14ac:dyDescent="0.25">
      <c r="B55" s="83" t="s">
        <v>0</v>
      </c>
      <c r="C55" s="507" t="s">
        <v>217</v>
      </c>
      <c r="D55" s="508"/>
      <c r="E55" s="508"/>
      <c r="F55" s="508"/>
      <c r="G55" s="508"/>
      <c r="H55" s="508"/>
      <c r="I55" s="509"/>
      <c r="J55" s="445" t="s">
        <v>32</v>
      </c>
      <c r="K55" s="444"/>
      <c r="L55" s="444"/>
      <c r="M55" s="444"/>
      <c r="N55" s="446"/>
    </row>
  </sheetData>
  <mergeCells count="43">
    <mergeCell ref="C16:G16"/>
    <mergeCell ref="B1:N1"/>
    <mergeCell ref="B2:N2"/>
    <mergeCell ref="B3:N3"/>
    <mergeCell ref="C7:I7"/>
    <mergeCell ref="M7:N7"/>
    <mergeCell ref="C9:I10"/>
    <mergeCell ref="C11:G11"/>
    <mergeCell ref="C12:G12"/>
    <mergeCell ref="C13:I13"/>
    <mergeCell ref="C14:I14"/>
    <mergeCell ref="C15:G15"/>
    <mergeCell ref="C33:I33"/>
    <mergeCell ref="G17:H17"/>
    <mergeCell ref="G18:H18"/>
    <mergeCell ref="G20:H20"/>
    <mergeCell ref="C21:I21"/>
    <mergeCell ref="C23:I23"/>
    <mergeCell ref="C28:I28"/>
    <mergeCell ref="C29:I29"/>
    <mergeCell ref="C31:I31"/>
    <mergeCell ref="C32:I32"/>
    <mergeCell ref="C35:I36"/>
    <mergeCell ref="C37:I37"/>
    <mergeCell ref="C38:I38"/>
    <mergeCell ref="C39:G39"/>
    <mergeCell ref="C40:G40"/>
    <mergeCell ref="C55:I55"/>
    <mergeCell ref="J55:N55"/>
    <mergeCell ref="G19:H19"/>
    <mergeCell ref="C52:I52"/>
    <mergeCell ref="J52:N52"/>
    <mergeCell ref="C53:I53"/>
    <mergeCell ref="J53:N53"/>
    <mergeCell ref="C54:I54"/>
    <mergeCell ref="J54:N54"/>
    <mergeCell ref="C41:G41"/>
    <mergeCell ref="C44:I44"/>
    <mergeCell ref="C47:H47"/>
    <mergeCell ref="C49:I49"/>
    <mergeCell ref="C50:I50"/>
    <mergeCell ref="C51:N51"/>
    <mergeCell ref="C34:I34"/>
  </mergeCells>
  <printOptions horizontalCentered="1"/>
  <pageMargins left="0.25" right="0.25" top="0.75" bottom="0.75" header="0.3" footer="0.3"/>
  <pageSetup paperSize="9" scale="5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A057-231B-418A-AAB6-2491B2094386}">
  <sheetPr>
    <tabColor theme="4"/>
    <pageSetUpPr fitToPage="1"/>
  </sheetPr>
  <dimension ref="B1:R38"/>
  <sheetViews>
    <sheetView view="pageBreakPreview" zoomScale="85" zoomScaleNormal="100" zoomScaleSheetLayoutView="85" workbookViewId="0">
      <selection activeCell="C10" sqref="C10:I1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ht="99.6" customHeight="1" x14ac:dyDescent="0.25">
      <c r="B2" s="575" t="s">
        <v>451</v>
      </c>
      <c r="C2" s="576"/>
      <c r="D2" s="576"/>
      <c r="E2" s="576"/>
      <c r="F2" s="576"/>
      <c r="G2" s="576"/>
      <c r="H2" s="576"/>
      <c r="I2" s="576"/>
      <c r="J2" s="576"/>
      <c r="K2" s="576"/>
      <c r="L2" s="576"/>
      <c r="M2" s="576"/>
      <c r="N2" s="577"/>
    </row>
    <row r="3" spans="2:18" x14ac:dyDescent="0.25">
      <c r="B3" s="182"/>
      <c r="L3" s="324"/>
      <c r="N3" s="325"/>
    </row>
    <row r="4" spans="2:18" ht="15.6" customHeight="1" x14ac:dyDescent="0.25">
      <c r="B4" s="578" t="s">
        <v>28</v>
      </c>
      <c r="C4" s="498"/>
      <c r="D4" s="498"/>
      <c r="E4" s="498"/>
      <c r="F4" s="498"/>
      <c r="G4" s="498"/>
      <c r="H4" s="498"/>
      <c r="I4" s="498"/>
      <c r="J4" s="498"/>
      <c r="K4" s="498"/>
      <c r="L4" s="498"/>
      <c r="M4" s="498"/>
      <c r="N4" s="579"/>
      <c r="O4" s="24"/>
      <c r="P4" s="24"/>
      <c r="Q4" s="24"/>
      <c r="R4" s="24"/>
    </row>
    <row r="5" spans="2:18" ht="15.6" customHeight="1" x14ac:dyDescent="0.25">
      <c r="B5" s="209"/>
      <c r="C5" s="74"/>
      <c r="D5" s="74"/>
      <c r="E5" s="74"/>
      <c r="F5" s="74"/>
      <c r="G5" s="74"/>
      <c r="H5" s="74"/>
      <c r="I5" s="75"/>
      <c r="J5" s="75"/>
      <c r="K5" s="29" t="s">
        <v>398</v>
      </c>
      <c r="L5" s="28"/>
      <c r="M5" s="29"/>
      <c r="N5" s="264" t="s">
        <v>527</v>
      </c>
      <c r="O5" s="32"/>
      <c r="P5" s="32"/>
      <c r="Q5" s="32"/>
      <c r="R5" s="32"/>
    </row>
    <row r="6" spans="2:18" ht="15.6" customHeight="1" x14ac:dyDescent="0.25">
      <c r="B6" s="177" t="s">
        <v>26</v>
      </c>
      <c r="C6" s="32" t="s">
        <v>30</v>
      </c>
      <c r="D6" s="32"/>
      <c r="E6" s="32"/>
      <c r="F6" s="32"/>
      <c r="G6" s="32"/>
      <c r="H6" s="32"/>
      <c r="I6" s="32"/>
      <c r="J6" s="14"/>
      <c r="K6" s="24" t="s">
        <v>25</v>
      </c>
      <c r="L6" s="76"/>
      <c r="M6" s="24"/>
      <c r="N6" s="265" t="s">
        <v>22</v>
      </c>
      <c r="O6" s="32"/>
      <c r="P6" s="32"/>
      <c r="Q6" s="32"/>
      <c r="R6" s="32"/>
    </row>
    <row r="7" spans="2:18" ht="15.6" customHeight="1" x14ac:dyDescent="0.25">
      <c r="B7" s="179" t="s">
        <v>24</v>
      </c>
      <c r="C7" s="72" t="s">
        <v>47</v>
      </c>
      <c r="D7" s="71"/>
      <c r="E7" s="71"/>
      <c r="F7" s="71"/>
      <c r="G7" s="71"/>
      <c r="H7" s="71"/>
      <c r="I7" s="72"/>
      <c r="J7" s="21"/>
      <c r="K7" s="20" t="s">
        <v>23</v>
      </c>
      <c r="L7" s="77"/>
      <c r="M7" s="20"/>
      <c r="N7" s="266" t="s">
        <v>22</v>
      </c>
    </row>
    <row r="8" spans="2:18" ht="30.6" customHeight="1" x14ac:dyDescent="0.25">
      <c r="B8" s="267" t="s">
        <v>29</v>
      </c>
      <c r="C8" s="500" t="s">
        <v>19</v>
      </c>
      <c r="D8" s="501"/>
      <c r="E8" s="501"/>
      <c r="F8" s="501"/>
      <c r="G8" s="501"/>
      <c r="H8" s="501"/>
      <c r="I8" s="502"/>
      <c r="J8" s="249" t="s">
        <v>21</v>
      </c>
      <c r="K8" s="249" t="s">
        <v>20</v>
      </c>
      <c r="L8" s="18" t="s">
        <v>18</v>
      </c>
      <c r="M8" s="500" t="s">
        <v>17</v>
      </c>
      <c r="N8" s="580"/>
    </row>
    <row r="9" spans="2:18" ht="16.149999999999999" customHeight="1" x14ac:dyDescent="0.25">
      <c r="B9" s="268"/>
      <c r="C9" s="91"/>
      <c r="D9" s="92"/>
      <c r="E9" s="92"/>
      <c r="F9" s="92"/>
      <c r="G9" s="92"/>
      <c r="H9" s="92"/>
      <c r="I9" s="93"/>
      <c r="J9" s="33"/>
      <c r="K9" s="16"/>
      <c r="L9" s="17"/>
      <c r="M9" s="16"/>
      <c r="N9" s="269"/>
    </row>
    <row r="10" spans="2:18" x14ac:dyDescent="0.25">
      <c r="B10" s="177"/>
      <c r="C10" s="523" t="s">
        <v>489</v>
      </c>
      <c r="D10" s="524"/>
      <c r="E10" s="524"/>
      <c r="F10" s="524"/>
      <c r="G10" s="524"/>
      <c r="H10" s="524"/>
      <c r="I10" s="525"/>
      <c r="J10" s="34"/>
      <c r="K10" s="25"/>
      <c r="L10" s="79"/>
      <c r="M10" s="25"/>
      <c r="N10" s="270"/>
    </row>
    <row r="11" spans="2:18" x14ac:dyDescent="0.25">
      <c r="B11" s="177"/>
      <c r="C11" s="523"/>
      <c r="D11" s="524"/>
      <c r="E11" s="524"/>
      <c r="F11" s="524"/>
      <c r="G11" s="524"/>
      <c r="H11" s="524"/>
      <c r="I11" s="525"/>
      <c r="J11" s="34"/>
      <c r="K11" s="25"/>
      <c r="L11" s="79"/>
      <c r="M11" s="25"/>
      <c r="N11" s="270"/>
    </row>
    <row r="12" spans="2:18" x14ac:dyDescent="0.25">
      <c r="B12" s="177"/>
      <c r="C12" s="526"/>
      <c r="D12" s="527"/>
      <c r="E12" s="527"/>
      <c r="F12" s="527"/>
      <c r="G12" s="527"/>
      <c r="H12" s="255"/>
      <c r="I12" s="252"/>
      <c r="J12" s="35"/>
      <c r="K12" s="25"/>
      <c r="L12" s="79"/>
      <c r="M12" s="25"/>
      <c r="N12" s="270"/>
    </row>
    <row r="13" spans="2:18" ht="15.75" customHeight="1" x14ac:dyDescent="0.25">
      <c r="B13" s="177"/>
      <c r="C13" s="526" t="s">
        <v>400</v>
      </c>
      <c r="D13" s="527"/>
      <c r="E13" s="527"/>
      <c r="F13" s="527"/>
      <c r="G13" s="527"/>
      <c r="H13" s="527"/>
      <c r="I13" s="255"/>
      <c r="J13" s="35"/>
      <c r="K13" s="25"/>
      <c r="L13" s="79"/>
      <c r="M13" s="25"/>
      <c r="N13" s="270"/>
    </row>
    <row r="14" spans="2:18" x14ac:dyDescent="0.25">
      <c r="B14" s="177"/>
      <c r="C14" s="438" t="s">
        <v>490</v>
      </c>
      <c r="D14" s="564"/>
      <c r="E14" s="564"/>
      <c r="F14" s="564"/>
      <c r="G14" s="564"/>
      <c r="H14" s="564"/>
      <c r="I14" s="439"/>
      <c r="J14" s="35"/>
      <c r="K14" s="25"/>
      <c r="L14" s="79"/>
      <c r="M14" s="25"/>
      <c r="N14" s="270"/>
    </row>
    <row r="15" spans="2:18" x14ac:dyDescent="0.25">
      <c r="B15" s="177"/>
      <c r="C15" s="254"/>
      <c r="D15" s="255"/>
      <c r="E15" s="255"/>
      <c r="F15" s="255"/>
      <c r="G15" s="255"/>
      <c r="H15" s="255"/>
      <c r="I15" s="252"/>
      <c r="J15" s="35"/>
      <c r="K15" s="25"/>
      <c r="L15" s="79"/>
      <c r="M15" s="25"/>
      <c r="N15" s="270"/>
    </row>
    <row r="16" spans="2:18" x14ac:dyDescent="0.25">
      <c r="B16" s="177"/>
      <c r="C16" s="565" t="s">
        <v>399</v>
      </c>
      <c r="D16" s="566"/>
      <c r="E16" s="566"/>
      <c r="F16" s="566"/>
      <c r="G16" s="566"/>
      <c r="H16" s="251"/>
      <c r="I16" s="94"/>
      <c r="J16" s="37"/>
      <c r="K16" s="25"/>
      <c r="L16" s="79"/>
      <c r="M16" s="25"/>
      <c r="N16" s="270"/>
    </row>
    <row r="17" spans="2:15" ht="31.5" x14ac:dyDescent="0.25">
      <c r="B17" s="177"/>
      <c r="C17" s="256" t="s">
        <v>15</v>
      </c>
      <c r="D17" s="256" t="s">
        <v>14</v>
      </c>
      <c r="E17" s="256" t="s">
        <v>13</v>
      </c>
      <c r="F17" s="256" t="s">
        <v>12</v>
      </c>
      <c r="G17" s="469" t="s">
        <v>11</v>
      </c>
      <c r="H17" s="469"/>
      <c r="I17" s="60" t="s">
        <v>10</v>
      </c>
      <c r="J17" s="36"/>
      <c r="K17" s="25"/>
      <c r="L17" s="79"/>
      <c r="M17" s="25"/>
      <c r="N17" s="270"/>
    </row>
    <row r="18" spans="2:15" ht="49.9" customHeight="1" x14ac:dyDescent="0.25">
      <c r="B18" s="177"/>
      <c r="C18" s="212">
        <v>36</v>
      </c>
      <c r="D18" s="220" t="s">
        <v>51</v>
      </c>
      <c r="E18" s="220" t="s">
        <v>132</v>
      </c>
      <c r="F18" s="150" t="s">
        <v>491</v>
      </c>
      <c r="G18" s="506" t="s">
        <v>391</v>
      </c>
      <c r="H18" s="506"/>
      <c r="I18" s="597" t="s">
        <v>140</v>
      </c>
      <c r="J18" s="219">
        <v>36</v>
      </c>
      <c r="K18" s="90" t="s">
        <v>55</v>
      </c>
      <c r="L18" s="81">
        <v>150</v>
      </c>
      <c r="M18" s="90"/>
      <c r="N18" s="271">
        <f>J18*L18</f>
        <v>5400</v>
      </c>
    </row>
    <row r="19" spans="2:15" ht="92.45" customHeight="1" x14ac:dyDescent="0.25">
      <c r="B19" s="177"/>
      <c r="C19" s="212">
        <v>36</v>
      </c>
      <c r="D19" s="220" t="s">
        <v>9</v>
      </c>
      <c r="E19" s="220" t="s">
        <v>132</v>
      </c>
      <c r="F19" s="150" t="s">
        <v>491</v>
      </c>
      <c r="G19" s="506" t="s">
        <v>390</v>
      </c>
      <c r="H19" s="506"/>
      <c r="I19" s="597"/>
      <c r="J19" s="219">
        <v>36</v>
      </c>
      <c r="K19" s="90" t="s">
        <v>55</v>
      </c>
      <c r="L19" s="81">
        <v>350</v>
      </c>
      <c r="M19" s="90"/>
      <c r="N19" s="271">
        <f t="shared" ref="N19:N20" si="0">J19*L19</f>
        <v>12600</v>
      </c>
    </row>
    <row r="20" spans="2:15" ht="57.6" customHeight="1" x14ac:dyDescent="0.25">
      <c r="B20" s="177"/>
      <c r="C20" s="212">
        <v>36</v>
      </c>
      <c r="D20" s="220" t="s">
        <v>133</v>
      </c>
      <c r="E20" s="220" t="s">
        <v>132</v>
      </c>
      <c r="F20" s="150" t="s">
        <v>491</v>
      </c>
      <c r="G20" s="506" t="s">
        <v>392</v>
      </c>
      <c r="H20" s="506"/>
      <c r="I20" s="598"/>
      <c r="J20" s="219">
        <v>36</v>
      </c>
      <c r="K20" s="90" t="s">
        <v>55</v>
      </c>
      <c r="L20" s="98">
        <v>150</v>
      </c>
      <c r="M20" s="90"/>
      <c r="N20" s="271">
        <f t="shared" si="0"/>
        <v>5400</v>
      </c>
    </row>
    <row r="21" spans="2:15" x14ac:dyDescent="0.25">
      <c r="B21" s="177"/>
      <c r="C21" s="523"/>
      <c r="D21" s="524"/>
      <c r="E21" s="524"/>
      <c r="F21" s="524"/>
      <c r="G21" s="524"/>
      <c r="H21" s="524"/>
      <c r="I21" s="525"/>
      <c r="J21" s="257"/>
      <c r="K21" s="25"/>
      <c r="L21" s="79"/>
      <c r="M21" s="25"/>
      <c r="N21" s="270"/>
    </row>
    <row r="22" spans="2:15" ht="15.75" customHeight="1" x14ac:dyDescent="0.25">
      <c r="B22" s="78"/>
      <c r="C22" s="567"/>
      <c r="D22" s="568"/>
      <c r="E22" s="568"/>
      <c r="F22" s="568"/>
      <c r="G22" s="568"/>
      <c r="H22" s="568"/>
      <c r="I22" s="569"/>
      <c r="J22" s="315"/>
      <c r="K22" s="25"/>
      <c r="L22" s="79"/>
      <c r="M22" s="25"/>
      <c r="N22" s="80"/>
    </row>
    <row r="23" spans="2:15" x14ac:dyDescent="0.25">
      <c r="B23" s="78"/>
      <c r="C23" s="352" t="s">
        <v>426</v>
      </c>
      <c r="D23" s="343"/>
      <c r="E23" s="343"/>
      <c r="F23" s="343"/>
      <c r="G23" s="343"/>
      <c r="H23" s="343"/>
      <c r="I23" s="115"/>
      <c r="J23" s="94"/>
      <c r="K23" s="25"/>
      <c r="L23" s="79"/>
      <c r="M23" s="25"/>
      <c r="N23" s="80"/>
    </row>
    <row r="24" spans="2:15" ht="34.15" customHeight="1" x14ac:dyDescent="0.25">
      <c r="B24" s="78"/>
      <c r="C24" s="570" t="s">
        <v>427</v>
      </c>
      <c r="D24" s="571"/>
      <c r="E24" s="571"/>
      <c r="F24" s="571"/>
      <c r="G24" s="571"/>
      <c r="H24" s="571"/>
      <c r="I24" s="572"/>
      <c r="J24" s="252"/>
      <c r="K24" s="25"/>
      <c r="L24" s="79"/>
      <c r="M24" s="25"/>
      <c r="N24" s="80"/>
    </row>
    <row r="25" spans="2:15" ht="15.75" customHeight="1" x14ac:dyDescent="0.25">
      <c r="B25" s="78"/>
      <c r="C25" s="349"/>
      <c r="D25"/>
      <c r="E25"/>
      <c r="F25"/>
      <c r="G25"/>
      <c r="H25" s="355"/>
      <c r="I25" s="94"/>
      <c r="J25" s="252"/>
      <c r="K25" s="25"/>
      <c r="L25" s="79"/>
      <c r="M25" s="25"/>
      <c r="N25" s="80"/>
    </row>
    <row r="26" spans="2:15" ht="15.75" customHeight="1" x14ac:dyDescent="0.25">
      <c r="B26" s="78"/>
      <c r="C26" s="353" t="s">
        <v>435</v>
      </c>
      <c r="D26" s="351"/>
      <c r="E26" s="351"/>
      <c r="F26" s="351"/>
      <c r="G26" s="351"/>
      <c r="H26" s="351"/>
      <c r="I26" s="252"/>
      <c r="J26" s="252"/>
      <c r="K26" s="25"/>
      <c r="L26" s="79"/>
      <c r="M26" s="25"/>
      <c r="N26" s="80"/>
    </row>
    <row r="27" spans="2:15" ht="18" customHeight="1" x14ac:dyDescent="0.25">
      <c r="B27" s="78"/>
      <c r="C27" s="570" t="s">
        <v>429</v>
      </c>
      <c r="D27" s="573"/>
      <c r="E27" s="573"/>
      <c r="F27" s="573"/>
      <c r="G27" s="573"/>
      <c r="H27" s="574"/>
      <c r="I27" s="252"/>
      <c r="J27" s="252"/>
      <c r="K27" s="25"/>
      <c r="L27" s="79"/>
      <c r="M27" s="25"/>
      <c r="N27" s="80"/>
      <c r="O27" s="5"/>
    </row>
    <row r="28" spans="2:15" ht="18" customHeight="1" x14ac:dyDescent="0.25">
      <c r="B28" s="78"/>
      <c r="C28" s="357"/>
      <c r="D28"/>
      <c r="E28"/>
      <c r="F28"/>
      <c r="G28"/>
      <c r="H28" s="355"/>
      <c r="I28" s="252"/>
      <c r="J28" s="252"/>
      <c r="K28" s="25"/>
      <c r="L28" s="79"/>
      <c r="M28" s="25"/>
      <c r="N28" s="80"/>
      <c r="O28" s="5"/>
    </row>
    <row r="29" spans="2:15" ht="18" customHeight="1" x14ac:dyDescent="0.25">
      <c r="B29" s="78"/>
      <c r="C29" s="570" t="s">
        <v>436</v>
      </c>
      <c r="D29" s="571"/>
      <c r="E29" s="571"/>
      <c r="F29" s="571"/>
      <c r="G29" s="571"/>
      <c r="H29" s="571"/>
      <c r="I29" s="572"/>
      <c r="J29" s="252"/>
      <c r="K29" s="25"/>
      <c r="L29" s="79"/>
      <c r="M29" s="25"/>
      <c r="N29" s="80"/>
      <c r="O29" s="5"/>
    </row>
    <row r="30" spans="2:15" x14ac:dyDescent="0.25">
      <c r="B30" s="177"/>
      <c r="C30" s="561"/>
      <c r="D30" s="562"/>
      <c r="E30" s="562"/>
      <c r="F30" s="562"/>
      <c r="G30" s="562"/>
      <c r="H30" s="562"/>
      <c r="I30" s="563"/>
      <c r="J30" s="257"/>
      <c r="K30" s="25"/>
      <c r="L30" s="79"/>
      <c r="M30" s="25"/>
      <c r="N30" s="270"/>
    </row>
    <row r="31" spans="2:15" x14ac:dyDescent="0.25">
      <c r="B31" s="179"/>
      <c r="C31" s="475"/>
      <c r="D31" s="518"/>
      <c r="E31" s="518"/>
      <c r="F31" s="518"/>
      <c r="G31" s="518"/>
      <c r="H31" s="253"/>
      <c r="I31" s="97"/>
      <c r="J31" s="84"/>
      <c r="K31" s="22"/>
      <c r="L31" s="85" t="s">
        <v>6</v>
      </c>
      <c r="M31" s="86" t="s">
        <v>5</v>
      </c>
      <c r="N31" s="274">
        <f>SUM(N18:N21)</f>
        <v>23400</v>
      </c>
    </row>
    <row r="32" spans="2:15" ht="15.6" customHeight="1" x14ac:dyDescent="0.25">
      <c r="B32" s="275" t="s">
        <v>4</v>
      </c>
      <c r="C32" s="557" t="s">
        <v>489</v>
      </c>
      <c r="D32" s="558"/>
      <c r="E32" s="558"/>
      <c r="F32" s="558"/>
      <c r="G32" s="558"/>
      <c r="H32" s="558"/>
      <c r="I32" s="558"/>
      <c r="J32" s="558"/>
      <c r="K32" s="558"/>
      <c r="L32" s="558"/>
      <c r="M32" s="558"/>
      <c r="N32" s="559"/>
    </row>
    <row r="33" spans="2:15" x14ac:dyDescent="0.25">
      <c r="B33" s="209"/>
      <c r="C33" s="445"/>
      <c r="D33" s="444"/>
      <c r="E33" s="444"/>
      <c r="F33" s="444"/>
      <c r="G33" s="444"/>
      <c r="H33" s="444"/>
      <c r="I33" s="446"/>
      <c r="J33" s="441" t="s">
        <v>3</v>
      </c>
      <c r="K33" s="442"/>
      <c r="L33" s="442"/>
      <c r="M33" s="442"/>
      <c r="N33" s="550"/>
    </row>
    <row r="34" spans="2:15" x14ac:dyDescent="0.25">
      <c r="B34" s="210" t="s">
        <v>2</v>
      </c>
      <c r="C34" s="507"/>
      <c r="D34" s="508"/>
      <c r="E34" s="508"/>
      <c r="F34" s="508"/>
      <c r="G34" s="508"/>
      <c r="H34" s="508"/>
      <c r="I34" s="509"/>
      <c r="J34" s="445"/>
      <c r="K34" s="444"/>
      <c r="L34" s="444"/>
      <c r="M34" s="444"/>
      <c r="N34" s="560"/>
    </row>
    <row r="35" spans="2:15" x14ac:dyDescent="0.25">
      <c r="B35" s="210" t="s">
        <v>1</v>
      </c>
      <c r="C35" s="513" t="s">
        <v>216</v>
      </c>
      <c r="D35" s="440"/>
      <c r="E35" s="440"/>
      <c r="F35" s="440"/>
      <c r="G35" s="440"/>
      <c r="H35" s="440"/>
      <c r="I35" s="514"/>
      <c r="J35" s="441" t="s">
        <v>380</v>
      </c>
      <c r="K35" s="442"/>
      <c r="L35" s="442"/>
      <c r="M35" s="442"/>
      <c r="N35" s="550"/>
    </row>
    <row r="36" spans="2:15" ht="16.5" thickBot="1" x14ac:dyDescent="0.3">
      <c r="B36" s="211" t="s">
        <v>0</v>
      </c>
      <c r="C36" s="551" t="s">
        <v>217</v>
      </c>
      <c r="D36" s="552"/>
      <c r="E36" s="552"/>
      <c r="F36" s="552"/>
      <c r="G36" s="552"/>
      <c r="H36" s="552"/>
      <c r="I36" s="553"/>
      <c r="J36" s="554" t="s">
        <v>32</v>
      </c>
      <c r="K36" s="555"/>
      <c r="L36" s="555"/>
      <c r="M36" s="555"/>
      <c r="N36" s="556"/>
    </row>
    <row r="37" spans="2:15" x14ac:dyDescent="0.25">
      <c r="C37" s="3"/>
      <c r="D37" s="1"/>
      <c r="E37" s="1"/>
      <c r="F37" s="1"/>
      <c r="G37" s="1"/>
      <c r="H37" s="1"/>
      <c r="I37" s="1"/>
      <c r="J37" s="1"/>
      <c r="K37" s="8"/>
      <c r="L37" s="7"/>
      <c r="M37" s="5"/>
      <c r="N37" s="6"/>
      <c r="O37" s="5"/>
    </row>
    <row r="38" spans="2:15" x14ac:dyDescent="0.25">
      <c r="B38" s="9"/>
      <c r="C38" s="3"/>
      <c r="D38" s="1"/>
      <c r="E38" s="1"/>
      <c r="F38" s="1"/>
      <c r="G38" s="1"/>
      <c r="H38" s="1"/>
      <c r="I38" s="1"/>
      <c r="J38" s="1"/>
      <c r="K38" s="8"/>
      <c r="L38" s="7"/>
      <c r="M38" s="5"/>
      <c r="N38" s="6"/>
      <c r="O38" s="5"/>
    </row>
  </sheetData>
  <mergeCells count="31">
    <mergeCell ref="J34:N34"/>
    <mergeCell ref="C35:I35"/>
    <mergeCell ref="J35:N35"/>
    <mergeCell ref="C36:I36"/>
    <mergeCell ref="J36:N36"/>
    <mergeCell ref="C34:I34"/>
    <mergeCell ref="C21:I21"/>
    <mergeCell ref="C30:I30"/>
    <mergeCell ref="C31:G31"/>
    <mergeCell ref="C32:N32"/>
    <mergeCell ref="C33:I33"/>
    <mergeCell ref="J33:N33"/>
    <mergeCell ref="C24:I24"/>
    <mergeCell ref="C27:H27"/>
    <mergeCell ref="C29:I29"/>
    <mergeCell ref="C22:I22"/>
    <mergeCell ref="G17:H17"/>
    <mergeCell ref="G18:H18"/>
    <mergeCell ref="I18:I20"/>
    <mergeCell ref="G19:H19"/>
    <mergeCell ref="G20:H20"/>
    <mergeCell ref="C10:I11"/>
    <mergeCell ref="C12:G12"/>
    <mergeCell ref="C13:H13"/>
    <mergeCell ref="C14:I14"/>
    <mergeCell ref="C16:G16"/>
    <mergeCell ref="B1:N1"/>
    <mergeCell ref="B2:N2"/>
    <mergeCell ref="B4:N4"/>
    <mergeCell ref="C8:I8"/>
    <mergeCell ref="M8:N8"/>
  </mergeCells>
  <printOptions horizontalCentered="1"/>
  <pageMargins left="0.25" right="0.25" top="0.75" bottom="0.75" header="0.3" footer="0.3"/>
  <pageSetup paperSize="9" scale="53" fitToHeight="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564E-E0E5-42E2-8AF2-8225CA532371}">
  <sheetPr>
    <tabColor theme="4"/>
    <pageSetUpPr fitToPage="1"/>
  </sheetPr>
  <dimension ref="B1:R39"/>
  <sheetViews>
    <sheetView view="pageBreakPreview" zoomScale="85" zoomScaleNormal="100" zoomScaleSheetLayoutView="85" workbookViewId="0">
      <selection activeCell="M7" sqref="M7:N7"/>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0.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ht="99.6" customHeight="1" x14ac:dyDescent="0.25">
      <c r="B2" s="575" t="s">
        <v>451</v>
      </c>
      <c r="C2" s="576"/>
      <c r="D2" s="576"/>
      <c r="E2" s="576"/>
      <c r="F2" s="576"/>
      <c r="G2" s="576"/>
      <c r="H2" s="576"/>
      <c r="I2" s="576"/>
      <c r="J2" s="576"/>
      <c r="K2" s="576"/>
      <c r="L2" s="576"/>
      <c r="M2" s="576"/>
      <c r="N2" s="577"/>
    </row>
    <row r="3" spans="2:18" ht="15.6" customHeight="1" x14ac:dyDescent="0.25">
      <c r="B3" s="578" t="s">
        <v>28</v>
      </c>
      <c r="C3" s="498"/>
      <c r="D3" s="498"/>
      <c r="E3" s="498"/>
      <c r="F3" s="498"/>
      <c r="G3" s="498"/>
      <c r="H3" s="498"/>
      <c r="I3" s="498"/>
      <c r="J3" s="498"/>
      <c r="K3" s="498"/>
      <c r="L3" s="498"/>
      <c r="M3" s="498"/>
      <c r="N3" s="579"/>
      <c r="O3" s="24"/>
      <c r="P3" s="24"/>
      <c r="Q3" s="24"/>
      <c r="R3" s="24"/>
    </row>
    <row r="4" spans="2:18" ht="15.6" customHeight="1" x14ac:dyDescent="0.25">
      <c r="B4" s="209"/>
      <c r="C4" s="74"/>
      <c r="D4" s="74"/>
      <c r="E4" s="74"/>
      <c r="F4" s="74"/>
      <c r="G4" s="74"/>
      <c r="H4" s="74"/>
      <c r="I4" s="75"/>
      <c r="J4" s="75"/>
      <c r="K4" s="29" t="s">
        <v>398</v>
      </c>
      <c r="L4" s="28"/>
      <c r="M4" s="29"/>
      <c r="N4" s="264" t="s">
        <v>508</v>
      </c>
      <c r="O4" s="32"/>
      <c r="P4" s="32"/>
      <c r="Q4" s="32"/>
      <c r="R4" s="32"/>
    </row>
    <row r="5" spans="2:18" ht="15.6" customHeight="1" x14ac:dyDescent="0.25">
      <c r="B5" s="177" t="s">
        <v>26</v>
      </c>
      <c r="C5" s="32" t="s">
        <v>30</v>
      </c>
      <c r="D5" s="32"/>
      <c r="E5" s="32"/>
      <c r="F5" s="32"/>
      <c r="G5" s="32"/>
      <c r="H5" s="32"/>
      <c r="I5" s="32"/>
      <c r="J5" s="14"/>
      <c r="K5" s="24" t="s">
        <v>25</v>
      </c>
      <c r="L5" s="76"/>
      <c r="M5" s="24"/>
      <c r="N5" s="265" t="s">
        <v>22</v>
      </c>
      <c r="O5" s="32"/>
      <c r="P5" s="32"/>
      <c r="Q5" s="32"/>
      <c r="R5" s="32"/>
    </row>
    <row r="6" spans="2:18" ht="15.6" customHeight="1" x14ac:dyDescent="0.25">
      <c r="B6" s="179" t="s">
        <v>24</v>
      </c>
      <c r="C6" s="72" t="s">
        <v>47</v>
      </c>
      <c r="D6" s="71"/>
      <c r="E6" s="71"/>
      <c r="F6" s="71"/>
      <c r="G6" s="71"/>
      <c r="H6" s="71"/>
      <c r="I6" s="72"/>
      <c r="J6" s="21"/>
      <c r="K6" s="20" t="s">
        <v>23</v>
      </c>
      <c r="L6" s="77"/>
      <c r="M6" s="20"/>
      <c r="N6" s="266" t="s">
        <v>22</v>
      </c>
    </row>
    <row r="7" spans="2:18" ht="30.6" customHeight="1" x14ac:dyDescent="0.25">
      <c r="B7" s="267" t="s">
        <v>29</v>
      </c>
      <c r="C7" s="500" t="s">
        <v>19</v>
      </c>
      <c r="D7" s="501"/>
      <c r="E7" s="501"/>
      <c r="F7" s="501"/>
      <c r="G7" s="501"/>
      <c r="H7" s="501"/>
      <c r="I7" s="502"/>
      <c r="J7" s="249" t="s">
        <v>21</v>
      </c>
      <c r="K7" s="249" t="s">
        <v>20</v>
      </c>
      <c r="L7" s="18" t="s">
        <v>18</v>
      </c>
      <c r="M7" s="500" t="s">
        <v>17</v>
      </c>
      <c r="N7" s="580"/>
    </row>
    <row r="8" spans="2:18" ht="16.149999999999999" customHeight="1" x14ac:dyDescent="0.25">
      <c r="B8" s="268"/>
      <c r="C8" s="91"/>
      <c r="D8" s="92"/>
      <c r="E8" s="92"/>
      <c r="F8" s="92"/>
      <c r="G8" s="92"/>
      <c r="H8" s="92"/>
      <c r="I8" s="93"/>
      <c r="J8" s="33"/>
      <c r="K8" s="16"/>
      <c r="L8" s="17"/>
      <c r="M8" s="16"/>
      <c r="N8" s="269"/>
    </row>
    <row r="9" spans="2:18" x14ac:dyDescent="0.25">
      <c r="B9" s="177"/>
      <c r="C9" s="523" t="s">
        <v>485</v>
      </c>
      <c r="D9" s="524"/>
      <c r="E9" s="524"/>
      <c r="F9" s="524"/>
      <c r="G9" s="524"/>
      <c r="H9" s="524"/>
      <c r="I9" s="525"/>
      <c r="J9" s="34"/>
      <c r="K9" s="25"/>
      <c r="L9" s="79"/>
      <c r="M9" s="25"/>
      <c r="N9" s="270"/>
    </row>
    <row r="10" spans="2:18" x14ac:dyDescent="0.25">
      <c r="B10" s="177"/>
      <c r="C10" s="523"/>
      <c r="D10" s="524"/>
      <c r="E10" s="524"/>
      <c r="F10" s="524"/>
      <c r="G10" s="524"/>
      <c r="H10" s="524"/>
      <c r="I10" s="525"/>
      <c r="J10" s="34"/>
      <c r="K10" s="25"/>
      <c r="L10" s="79"/>
      <c r="M10" s="25"/>
      <c r="N10" s="270"/>
    </row>
    <row r="11" spans="2:18" x14ac:dyDescent="0.25">
      <c r="B11" s="177"/>
      <c r="C11" s="526"/>
      <c r="D11" s="527"/>
      <c r="E11" s="527"/>
      <c r="F11" s="527"/>
      <c r="G11" s="527"/>
      <c r="H11" s="255"/>
      <c r="I11" s="252"/>
      <c r="J11" s="35"/>
      <c r="K11" s="25"/>
      <c r="L11" s="79"/>
      <c r="M11" s="25"/>
      <c r="N11" s="270"/>
    </row>
    <row r="12" spans="2:18" ht="15.75" customHeight="1" x14ac:dyDescent="0.25">
      <c r="B12" s="177"/>
      <c r="C12" s="526" t="s">
        <v>400</v>
      </c>
      <c r="D12" s="527"/>
      <c r="E12" s="527"/>
      <c r="F12" s="527"/>
      <c r="G12" s="527"/>
      <c r="H12" s="527"/>
      <c r="I12" s="255"/>
      <c r="J12" s="35"/>
      <c r="K12" s="25"/>
      <c r="L12" s="79"/>
      <c r="M12" s="25"/>
      <c r="N12" s="270"/>
    </row>
    <row r="13" spans="2:18" x14ac:dyDescent="0.25">
      <c r="B13" s="177"/>
      <c r="C13" s="438" t="s">
        <v>486</v>
      </c>
      <c r="D13" s="564"/>
      <c r="E13" s="564"/>
      <c r="F13" s="564"/>
      <c r="G13" s="564"/>
      <c r="H13" s="564"/>
      <c r="I13" s="439"/>
      <c r="J13" s="35"/>
      <c r="K13" s="25"/>
      <c r="L13" s="79"/>
      <c r="M13" s="25"/>
      <c r="N13" s="270"/>
    </row>
    <row r="14" spans="2:18" x14ac:dyDescent="0.25">
      <c r="B14" s="177"/>
      <c r="C14" s="254"/>
      <c r="D14" s="255"/>
      <c r="E14" s="255"/>
      <c r="F14" s="255"/>
      <c r="G14" s="255"/>
      <c r="H14" s="255"/>
      <c r="I14" s="252"/>
      <c r="J14" s="35"/>
      <c r="K14" s="25"/>
      <c r="L14" s="79"/>
      <c r="M14" s="25"/>
      <c r="N14" s="270"/>
    </row>
    <row r="15" spans="2:18" x14ac:dyDescent="0.25">
      <c r="B15" s="177"/>
      <c r="C15" s="565" t="s">
        <v>399</v>
      </c>
      <c r="D15" s="566"/>
      <c r="E15" s="566"/>
      <c r="F15" s="566"/>
      <c r="G15" s="566"/>
      <c r="H15" s="251"/>
      <c r="I15" s="94"/>
      <c r="J15" s="37"/>
      <c r="K15" s="25"/>
      <c r="L15" s="79"/>
      <c r="M15" s="25"/>
      <c r="N15" s="270"/>
    </row>
    <row r="16" spans="2:18" ht="31.5" x14ac:dyDescent="0.25">
      <c r="B16" s="177"/>
      <c r="C16" s="256" t="s">
        <v>15</v>
      </c>
      <c r="D16" s="256" t="s">
        <v>14</v>
      </c>
      <c r="E16" s="256" t="s">
        <v>13</v>
      </c>
      <c r="F16" s="256" t="s">
        <v>12</v>
      </c>
      <c r="G16" s="469" t="s">
        <v>11</v>
      </c>
      <c r="H16" s="469"/>
      <c r="I16" s="60" t="s">
        <v>10</v>
      </c>
      <c r="J16" s="36"/>
      <c r="K16" s="25"/>
      <c r="L16" s="79"/>
      <c r="M16" s="25"/>
      <c r="N16" s="270"/>
    </row>
    <row r="17" spans="2:14" ht="49.9" customHeight="1" x14ac:dyDescent="0.25">
      <c r="B17" s="177"/>
      <c r="C17" s="212">
        <v>15</v>
      </c>
      <c r="D17" s="220" t="s">
        <v>51</v>
      </c>
      <c r="E17" s="220" t="s">
        <v>132</v>
      </c>
      <c r="F17" s="150">
        <v>45548</v>
      </c>
      <c r="G17" s="506" t="s">
        <v>391</v>
      </c>
      <c r="H17" s="506"/>
      <c r="I17" s="597" t="s">
        <v>140</v>
      </c>
      <c r="J17" s="219">
        <v>15</v>
      </c>
      <c r="K17" s="90" t="s">
        <v>55</v>
      </c>
      <c r="L17" s="81">
        <v>100</v>
      </c>
      <c r="M17" s="90"/>
      <c r="N17" s="271">
        <f>J17*L17</f>
        <v>1500</v>
      </c>
    </row>
    <row r="18" spans="2:14" ht="92.45" customHeight="1" x14ac:dyDescent="0.25">
      <c r="B18" s="177"/>
      <c r="C18" s="212">
        <v>15</v>
      </c>
      <c r="D18" s="220" t="s">
        <v>9</v>
      </c>
      <c r="E18" s="220" t="s">
        <v>487</v>
      </c>
      <c r="F18" s="150">
        <v>45548</v>
      </c>
      <c r="G18" s="506" t="s">
        <v>390</v>
      </c>
      <c r="H18" s="506"/>
      <c r="I18" s="597"/>
      <c r="J18" s="219">
        <v>15</v>
      </c>
      <c r="K18" s="90" t="s">
        <v>55</v>
      </c>
      <c r="L18" s="81">
        <v>200</v>
      </c>
      <c r="M18" s="90"/>
      <c r="N18" s="271">
        <f t="shared" ref="N18:N19" si="0">J18*L18</f>
        <v>3000</v>
      </c>
    </row>
    <row r="19" spans="2:14" ht="57.6" customHeight="1" x14ac:dyDescent="0.25">
      <c r="B19" s="177"/>
      <c r="C19" s="212">
        <v>15</v>
      </c>
      <c r="D19" s="220" t="s">
        <v>133</v>
      </c>
      <c r="E19" s="220" t="s">
        <v>132</v>
      </c>
      <c r="F19" s="150">
        <v>45548</v>
      </c>
      <c r="G19" s="506" t="s">
        <v>392</v>
      </c>
      <c r="H19" s="506"/>
      <c r="I19" s="598"/>
      <c r="J19" s="219">
        <v>15</v>
      </c>
      <c r="K19" s="90" t="s">
        <v>55</v>
      </c>
      <c r="L19" s="98">
        <v>100</v>
      </c>
      <c r="M19" s="90"/>
      <c r="N19" s="271">
        <f t="shared" si="0"/>
        <v>1500</v>
      </c>
    </row>
    <row r="20" spans="2:14" x14ac:dyDescent="0.25">
      <c r="B20" s="177"/>
      <c r="C20" s="523"/>
      <c r="D20" s="524"/>
      <c r="E20" s="524"/>
      <c r="F20" s="524"/>
      <c r="G20" s="524"/>
      <c r="H20" s="524"/>
      <c r="I20" s="525"/>
      <c r="J20" s="257"/>
      <c r="K20" s="25"/>
      <c r="L20" s="79"/>
      <c r="M20" s="25"/>
      <c r="N20" s="270"/>
    </row>
    <row r="21" spans="2:14" x14ac:dyDescent="0.25">
      <c r="B21" s="177"/>
      <c r="C21" s="561"/>
      <c r="D21" s="562"/>
      <c r="E21" s="562"/>
      <c r="F21" s="562"/>
      <c r="G21" s="562"/>
      <c r="H21" s="562"/>
      <c r="I21" s="563"/>
      <c r="J21" s="257"/>
      <c r="K21" s="25"/>
      <c r="L21" s="79"/>
      <c r="M21" s="25"/>
      <c r="N21" s="270"/>
    </row>
    <row r="22" spans="2:14" x14ac:dyDescent="0.25">
      <c r="B22" s="177"/>
      <c r="C22" s="96" t="s">
        <v>33</v>
      </c>
      <c r="D22" s="251"/>
      <c r="E22" s="251"/>
      <c r="F22" s="251"/>
      <c r="G22" s="251"/>
      <c r="H22" s="251"/>
      <c r="I22" s="116"/>
      <c r="J22" s="257"/>
      <c r="K22" s="25"/>
      <c r="L22" s="79"/>
      <c r="M22" s="25"/>
      <c r="N22" s="270"/>
    </row>
    <row r="23" spans="2:14" x14ac:dyDescent="0.25">
      <c r="B23" s="177"/>
      <c r="C23" s="95" t="s">
        <v>34</v>
      </c>
      <c r="D23" s="251"/>
      <c r="E23" s="251"/>
      <c r="F23" s="251"/>
      <c r="G23" s="251"/>
      <c r="H23" s="251"/>
      <c r="I23" s="116"/>
      <c r="J23" s="257"/>
      <c r="K23" s="25"/>
      <c r="L23" s="79"/>
      <c r="M23" s="25"/>
      <c r="N23" s="270"/>
    </row>
    <row r="24" spans="2:14" x14ac:dyDescent="0.25">
      <c r="B24" s="177"/>
      <c r="C24" s="95" t="s">
        <v>35</v>
      </c>
      <c r="D24" s="251"/>
      <c r="E24" s="251"/>
      <c r="F24" s="251"/>
      <c r="G24" s="251"/>
      <c r="H24" s="251"/>
      <c r="I24" s="116"/>
      <c r="J24" s="257"/>
      <c r="K24" s="25"/>
      <c r="L24" s="79"/>
      <c r="M24" s="25"/>
      <c r="N24" s="270"/>
    </row>
    <row r="25" spans="2:14" x14ac:dyDescent="0.25">
      <c r="B25" s="177"/>
      <c r="C25" s="95"/>
      <c r="D25" s="251" t="s">
        <v>50</v>
      </c>
      <c r="E25" s="251"/>
      <c r="F25" s="251"/>
      <c r="G25" s="251"/>
      <c r="H25" s="251"/>
      <c r="I25" s="116"/>
      <c r="J25" s="257"/>
      <c r="K25" s="25"/>
      <c r="L25" s="79"/>
      <c r="M25" s="25"/>
      <c r="N25" s="270"/>
    </row>
    <row r="26" spans="2:14" x14ac:dyDescent="0.25">
      <c r="B26" s="177"/>
      <c r="C26" s="96" t="s">
        <v>36</v>
      </c>
      <c r="D26" s="251"/>
      <c r="E26" s="251"/>
      <c r="F26" s="251"/>
      <c r="G26" s="251"/>
      <c r="H26" s="251"/>
      <c r="I26" s="116"/>
      <c r="J26" s="257"/>
      <c r="K26" s="25"/>
      <c r="L26" s="79"/>
      <c r="M26" s="25"/>
      <c r="N26" s="270"/>
    </row>
    <row r="27" spans="2:14" x14ac:dyDescent="0.25">
      <c r="B27" s="177"/>
      <c r="C27" s="95" t="s">
        <v>37</v>
      </c>
      <c r="D27" s="251"/>
      <c r="E27" s="251"/>
      <c r="F27" s="251"/>
      <c r="G27" s="251"/>
      <c r="H27" s="251"/>
      <c r="I27" s="116"/>
      <c r="J27" s="257"/>
      <c r="K27" s="25"/>
      <c r="L27" s="79"/>
      <c r="M27" s="25"/>
      <c r="N27" s="270"/>
    </row>
    <row r="28" spans="2:14" x14ac:dyDescent="0.25">
      <c r="B28" s="177"/>
      <c r="C28" s="95"/>
      <c r="D28" s="251"/>
      <c r="E28" s="251"/>
      <c r="F28" s="251"/>
      <c r="G28" s="251"/>
      <c r="H28" s="251"/>
      <c r="I28" s="116"/>
      <c r="J28" s="257"/>
      <c r="K28" s="25"/>
      <c r="L28" s="79"/>
      <c r="M28" s="25"/>
      <c r="N28" s="270"/>
    </row>
    <row r="29" spans="2:14" x14ac:dyDescent="0.25">
      <c r="B29" s="177"/>
      <c r="C29" s="250"/>
      <c r="D29" s="251"/>
      <c r="E29" s="251"/>
      <c r="F29" s="251"/>
      <c r="G29" s="251"/>
      <c r="H29" s="251"/>
      <c r="I29" s="116"/>
      <c r="J29" s="257"/>
      <c r="K29" s="25"/>
      <c r="L29" s="79"/>
      <c r="M29" s="25"/>
      <c r="N29" s="270"/>
    </row>
    <row r="30" spans="2:14" x14ac:dyDescent="0.25">
      <c r="B30" s="177"/>
      <c r="C30" s="99" t="s">
        <v>8</v>
      </c>
      <c r="D30" s="251"/>
      <c r="E30" s="251"/>
      <c r="F30" s="251"/>
      <c r="G30" s="251"/>
      <c r="H30" s="251"/>
      <c r="I30" s="94"/>
      <c r="J30" s="37"/>
      <c r="K30" s="25"/>
      <c r="L30" s="79"/>
      <c r="M30" s="25"/>
      <c r="N30" s="270"/>
    </row>
    <row r="31" spans="2:14" x14ac:dyDescent="0.25">
      <c r="B31" s="179"/>
      <c r="C31" s="22" t="s">
        <v>38</v>
      </c>
      <c r="D31" s="253"/>
      <c r="E31" s="253"/>
      <c r="F31" s="253"/>
      <c r="G31" s="253"/>
      <c r="H31" s="253"/>
      <c r="I31" s="97"/>
      <c r="J31" s="84"/>
      <c r="K31" s="22"/>
      <c r="L31" s="156"/>
      <c r="M31" s="22"/>
      <c r="N31" s="273"/>
    </row>
    <row r="32" spans="2:14" x14ac:dyDescent="0.25">
      <c r="B32" s="179"/>
      <c r="C32" s="475"/>
      <c r="D32" s="518"/>
      <c r="E32" s="518"/>
      <c r="F32" s="518"/>
      <c r="G32" s="518"/>
      <c r="H32" s="253"/>
      <c r="I32" s="97"/>
      <c r="J32" s="84"/>
      <c r="K32" s="22"/>
      <c r="L32" s="85" t="s">
        <v>6</v>
      </c>
      <c r="M32" s="86" t="s">
        <v>5</v>
      </c>
      <c r="N32" s="274">
        <f>SUM(N17:N20)</f>
        <v>6000</v>
      </c>
    </row>
    <row r="33" spans="2:15" ht="15.6" customHeight="1" x14ac:dyDescent="0.25">
      <c r="B33" s="275" t="s">
        <v>4</v>
      </c>
      <c r="C33" s="557" t="s">
        <v>485</v>
      </c>
      <c r="D33" s="558"/>
      <c r="E33" s="558"/>
      <c r="F33" s="558"/>
      <c r="G33" s="558"/>
      <c r="H33" s="558"/>
      <c r="I33" s="558"/>
      <c r="J33" s="558"/>
      <c r="K33" s="558"/>
      <c r="L33" s="558"/>
      <c r="M33" s="558"/>
      <c r="N33" s="559"/>
    </row>
    <row r="34" spans="2:15" x14ac:dyDescent="0.25">
      <c r="B34" s="209"/>
      <c r="C34" s="445"/>
      <c r="D34" s="444"/>
      <c r="E34" s="444"/>
      <c r="F34" s="444"/>
      <c r="G34" s="444"/>
      <c r="H34" s="444"/>
      <c r="I34" s="446"/>
      <c r="J34" s="441" t="s">
        <v>3</v>
      </c>
      <c r="K34" s="442"/>
      <c r="L34" s="442"/>
      <c r="M34" s="442"/>
      <c r="N34" s="550"/>
    </row>
    <row r="35" spans="2:15" x14ac:dyDescent="0.25">
      <c r="B35" s="210" t="s">
        <v>2</v>
      </c>
      <c r="C35" s="507"/>
      <c r="D35" s="508"/>
      <c r="E35" s="508"/>
      <c r="F35" s="508"/>
      <c r="G35" s="508"/>
      <c r="H35" s="508"/>
      <c r="I35" s="509"/>
      <c r="J35" s="445"/>
      <c r="K35" s="444"/>
      <c r="L35" s="444"/>
      <c r="M35" s="444"/>
      <c r="N35" s="560"/>
    </row>
    <row r="36" spans="2:15" x14ac:dyDescent="0.25">
      <c r="B36" s="210" t="s">
        <v>1</v>
      </c>
      <c r="C36" s="513" t="s">
        <v>216</v>
      </c>
      <c r="D36" s="440"/>
      <c r="E36" s="440"/>
      <c r="F36" s="440"/>
      <c r="G36" s="440"/>
      <c r="H36" s="440"/>
      <c r="I36" s="514"/>
      <c r="J36" s="441" t="s">
        <v>380</v>
      </c>
      <c r="K36" s="442"/>
      <c r="L36" s="442"/>
      <c r="M36" s="442"/>
      <c r="N36" s="550"/>
    </row>
    <row r="37" spans="2:15" ht="16.5" thickBot="1" x14ac:dyDescent="0.3">
      <c r="B37" s="211" t="s">
        <v>0</v>
      </c>
      <c r="C37" s="551" t="s">
        <v>217</v>
      </c>
      <c r="D37" s="552"/>
      <c r="E37" s="552"/>
      <c r="F37" s="552"/>
      <c r="G37" s="552"/>
      <c r="H37" s="552"/>
      <c r="I37" s="553"/>
      <c r="J37" s="554" t="s">
        <v>32</v>
      </c>
      <c r="K37" s="555"/>
      <c r="L37" s="555"/>
      <c r="M37" s="555"/>
      <c r="N37" s="556"/>
    </row>
    <row r="38" spans="2:15" x14ac:dyDescent="0.25">
      <c r="C38" s="3"/>
      <c r="D38" s="1"/>
      <c r="E38" s="1"/>
      <c r="F38" s="1"/>
      <c r="G38" s="1"/>
      <c r="H38" s="1"/>
      <c r="I38" s="1"/>
      <c r="J38" s="1"/>
      <c r="K38" s="8"/>
      <c r="L38" s="7"/>
      <c r="M38" s="5"/>
      <c r="N38" s="6"/>
      <c r="O38" s="5"/>
    </row>
    <row r="39" spans="2:15" x14ac:dyDescent="0.25">
      <c r="B39" s="9"/>
      <c r="C39" s="3"/>
      <c r="D39" s="1"/>
      <c r="E39" s="1"/>
      <c r="F39" s="1"/>
      <c r="G39" s="1"/>
      <c r="H39" s="1"/>
      <c r="I39" s="1"/>
      <c r="J39" s="1"/>
      <c r="K39" s="8"/>
      <c r="L39" s="7"/>
      <c r="M39" s="5"/>
      <c r="N39" s="6"/>
      <c r="O39" s="5"/>
    </row>
  </sheetData>
  <mergeCells count="27">
    <mergeCell ref="C36:I36"/>
    <mergeCell ref="J36:N36"/>
    <mergeCell ref="C37:I37"/>
    <mergeCell ref="J37:N37"/>
    <mergeCell ref="C32:G32"/>
    <mergeCell ref="C33:N33"/>
    <mergeCell ref="C34:I34"/>
    <mergeCell ref="J34:N34"/>
    <mergeCell ref="C35:I35"/>
    <mergeCell ref="J35:N35"/>
    <mergeCell ref="C21:I21"/>
    <mergeCell ref="C20:I20"/>
    <mergeCell ref="C12:H12"/>
    <mergeCell ref="C13:I13"/>
    <mergeCell ref="C15:G15"/>
    <mergeCell ref="G16:H16"/>
    <mergeCell ref="G17:H17"/>
    <mergeCell ref="I17:I19"/>
    <mergeCell ref="G18:H18"/>
    <mergeCell ref="G19:H19"/>
    <mergeCell ref="C11:G11"/>
    <mergeCell ref="B1:N1"/>
    <mergeCell ref="B2:N2"/>
    <mergeCell ref="B3:N3"/>
    <mergeCell ref="C7:I7"/>
    <mergeCell ref="M7:N7"/>
    <mergeCell ref="C9:I10"/>
  </mergeCells>
  <printOptions horizontalCentered="1"/>
  <pageMargins left="0.25" right="0.25" top="0.75" bottom="0.75" header="0.3" footer="0.3"/>
  <pageSetup paperSize="9" scale="54" fitToHeight="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99C3-D302-460E-B6BF-2AF1219CB234}">
  <sheetPr>
    <tabColor theme="4"/>
    <pageSetUpPr fitToPage="1"/>
  </sheetPr>
  <dimension ref="B1:R36"/>
  <sheetViews>
    <sheetView view="pageBreakPreview" zoomScale="85" zoomScaleNormal="100" zoomScaleSheetLayoutView="85" workbookViewId="0">
      <selection activeCell="F24" sqref="F2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4.42578125" style="4" customWidth="1"/>
    <col min="8" max="8" width="9.7109375" style="4" hidden="1" customWidth="1"/>
    <col min="9" max="9" width="16.5703125"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x14ac:dyDescent="0.25">
      <c r="B2" s="575" t="s">
        <v>165</v>
      </c>
      <c r="C2" s="576"/>
      <c r="D2" s="576"/>
      <c r="E2" s="576"/>
      <c r="F2" s="576"/>
      <c r="G2" s="576"/>
      <c r="H2" s="576"/>
      <c r="I2" s="576"/>
      <c r="J2" s="576"/>
      <c r="K2" s="576"/>
      <c r="L2" s="576"/>
      <c r="M2" s="576"/>
      <c r="N2" s="577"/>
    </row>
    <row r="3" spans="2:18" x14ac:dyDescent="0.25">
      <c r="B3" s="606" t="s">
        <v>393</v>
      </c>
      <c r="C3" s="606"/>
      <c r="D3" s="606"/>
      <c r="E3" s="606"/>
      <c r="F3" s="606"/>
      <c r="G3" s="606"/>
      <c r="H3" s="606"/>
      <c r="I3" s="606"/>
      <c r="J3" s="606"/>
      <c r="K3" s="606"/>
      <c r="L3" s="606"/>
      <c r="M3" s="606"/>
      <c r="N3" s="606"/>
    </row>
    <row r="4" spans="2:18" x14ac:dyDescent="0.25">
      <c r="B4" s="599" t="s">
        <v>394</v>
      </c>
      <c r="C4" s="599"/>
      <c r="D4" s="599"/>
      <c r="E4" s="599"/>
      <c r="F4" s="599"/>
      <c r="G4" s="599"/>
      <c r="H4" s="599"/>
      <c r="I4" s="599"/>
      <c r="J4" s="599"/>
      <c r="K4" s="599"/>
      <c r="L4" s="599"/>
      <c r="M4" s="599"/>
      <c r="N4" s="599"/>
    </row>
    <row r="5" spans="2:18" x14ac:dyDescent="0.25">
      <c r="B5" s="599" t="s">
        <v>395</v>
      </c>
      <c r="C5" s="599"/>
      <c r="D5" s="599"/>
      <c r="E5" s="599"/>
      <c r="F5" s="599"/>
      <c r="G5" s="599"/>
      <c r="H5" s="599"/>
      <c r="I5" s="599"/>
      <c r="J5" s="599"/>
      <c r="K5" s="599"/>
      <c r="L5" s="599"/>
      <c r="M5" s="599"/>
      <c r="N5" s="599"/>
    </row>
    <row r="6" spans="2:18" x14ac:dyDescent="0.25">
      <c r="B6" s="599" t="s">
        <v>396</v>
      </c>
      <c r="C6" s="599"/>
      <c r="D6" s="599"/>
      <c r="E6" s="599"/>
      <c r="F6" s="599"/>
      <c r="G6" s="599"/>
      <c r="H6" s="599"/>
      <c r="I6" s="599"/>
      <c r="J6" s="599"/>
      <c r="K6" s="599"/>
      <c r="L6" s="599"/>
      <c r="M6" s="599"/>
      <c r="N6" s="599"/>
    </row>
    <row r="7" spans="2:18" x14ac:dyDescent="0.25">
      <c r="B7" s="599" t="s">
        <v>397</v>
      </c>
      <c r="C7" s="599"/>
      <c r="D7" s="599"/>
      <c r="E7" s="599"/>
      <c r="F7" s="599"/>
      <c r="G7" s="599"/>
      <c r="H7" s="599"/>
      <c r="I7" s="599"/>
      <c r="J7" s="599"/>
      <c r="K7" s="599"/>
      <c r="L7" s="599"/>
      <c r="M7" s="599"/>
      <c r="N7" s="599"/>
    </row>
    <row r="8" spans="2:18" x14ac:dyDescent="0.25">
      <c r="B8" s="182"/>
      <c r="L8" s="324"/>
      <c r="N8" s="325"/>
    </row>
    <row r="9" spans="2:18" ht="15.6" customHeight="1" x14ac:dyDescent="0.25">
      <c r="B9" s="578" t="s">
        <v>28</v>
      </c>
      <c r="C9" s="498"/>
      <c r="D9" s="498"/>
      <c r="E9" s="498"/>
      <c r="F9" s="498"/>
      <c r="G9" s="498"/>
      <c r="H9" s="498"/>
      <c r="I9" s="498"/>
      <c r="J9" s="498"/>
      <c r="K9" s="498"/>
      <c r="L9" s="498"/>
      <c r="M9" s="498"/>
      <c r="N9" s="579"/>
      <c r="O9" s="24"/>
      <c r="P9" s="24"/>
      <c r="Q9" s="24"/>
      <c r="R9" s="24"/>
    </row>
    <row r="10" spans="2:18" ht="15.6" customHeight="1" x14ac:dyDescent="0.25">
      <c r="B10" s="209"/>
      <c r="C10" s="74"/>
      <c r="D10" s="74"/>
      <c r="E10" s="74"/>
      <c r="F10" s="74"/>
      <c r="G10" s="74"/>
      <c r="H10" s="74"/>
      <c r="I10" s="75"/>
      <c r="J10" s="75"/>
      <c r="K10" s="29" t="s">
        <v>398</v>
      </c>
      <c r="L10" s="28"/>
      <c r="M10" s="29"/>
      <c r="N10" s="264" t="s">
        <v>478</v>
      </c>
      <c r="O10" s="32"/>
      <c r="P10" s="32"/>
      <c r="Q10" s="32"/>
      <c r="R10" s="32"/>
    </row>
    <row r="11" spans="2:18" ht="15.6" customHeight="1" x14ac:dyDescent="0.25">
      <c r="B11" s="177" t="s">
        <v>26</v>
      </c>
      <c r="C11" s="32" t="s">
        <v>30</v>
      </c>
      <c r="D11" s="32"/>
      <c r="E11" s="32"/>
      <c r="F11" s="32"/>
      <c r="G11" s="32"/>
      <c r="H11" s="32"/>
      <c r="I11" s="32"/>
      <c r="J11" s="14"/>
      <c r="K11" s="24" t="s">
        <v>25</v>
      </c>
      <c r="L11" s="76"/>
      <c r="M11" s="24"/>
      <c r="N11" s="265" t="s">
        <v>22</v>
      </c>
      <c r="O11" s="32"/>
      <c r="P11" s="32"/>
      <c r="Q11" s="32"/>
      <c r="R11" s="32"/>
    </row>
    <row r="12" spans="2:18" ht="15.6" customHeight="1" x14ac:dyDescent="0.25">
      <c r="B12" s="179" t="s">
        <v>24</v>
      </c>
      <c r="C12" s="72" t="s">
        <v>47</v>
      </c>
      <c r="D12" s="71"/>
      <c r="E12" s="71"/>
      <c r="F12" s="71"/>
      <c r="G12" s="71"/>
      <c r="H12" s="71"/>
      <c r="I12" s="72"/>
      <c r="J12" s="21"/>
      <c r="K12" s="20" t="s">
        <v>23</v>
      </c>
      <c r="L12" s="77"/>
      <c r="M12" s="20"/>
      <c r="N12" s="266" t="s">
        <v>22</v>
      </c>
    </row>
    <row r="13" spans="2:18" ht="30.6" customHeight="1" x14ac:dyDescent="0.25">
      <c r="B13" s="267" t="s">
        <v>29</v>
      </c>
      <c r="C13" s="500" t="s">
        <v>19</v>
      </c>
      <c r="D13" s="501"/>
      <c r="E13" s="501"/>
      <c r="F13" s="501"/>
      <c r="G13" s="501"/>
      <c r="H13" s="501"/>
      <c r="I13" s="502"/>
      <c r="J13" s="249" t="s">
        <v>21</v>
      </c>
      <c r="K13" s="249" t="s">
        <v>20</v>
      </c>
      <c r="L13" s="18" t="s">
        <v>18</v>
      </c>
      <c r="M13" s="500" t="s">
        <v>17</v>
      </c>
      <c r="N13" s="580"/>
    </row>
    <row r="14" spans="2:18" ht="16.149999999999999" customHeight="1" x14ac:dyDescent="0.25">
      <c r="B14" s="268"/>
      <c r="C14" s="91"/>
      <c r="D14" s="92"/>
      <c r="E14" s="92"/>
      <c r="F14" s="92"/>
      <c r="G14" s="92"/>
      <c r="H14" s="92"/>
      <c r="I14" s="93"/>
      <c r="J14" s="33"/>
      <c r="K14" s="16"/>
      <c r="L14" s="17"/>
      <c r="M14" s="16"/>
      <c r="N14" s="269"/>
    </row>
    <row r="15" spans="2:18" x14ac:dyDescent="0.25">
      <c r="B15" s="177"/>
      <c r="C15" s="523" t="s">
        <v>481</v>
      </c>
      <c r="D15" s="524"/>
      <c r="E15" s="524"/>
      <c r="F15" s="524"/>
      <c r="G15" s="524"/>
      <c r="H15" s="524"/>
      <c r="I15" s="525"/>
      <c r="J15" s="34"/>
      <c r="K15" s="25"/>
      <c r="L15" s="79"/>
      <c r="M15" s="25"/>
      <c r="N15" s="270"/>
    </row>
    <row r="16" spans="2:18" x14ac:dyDescent="0.25">
      <c r="B16" s="177"/>
      <c r="C16" s="523"/>
      <c r="D16" s="524"/>
      <c r="E16" s="524"/>
      <c r="F16" s="524"/>
      <c r="G16" s="524"/>
      <c r="H16" s="524"/>
      <c r="I16" s="525"/>
      <c r="J16" s="34"/>
      <c r="K16" s="25"/>
      <c r="L16" s="79"/>
      <c r="M16" s="25"/>
      <c r="N16" s="270"/>
    </row>
    <row r="17" spans="2:14" x14ac:dyDescent="0.25">
      <c r="B17" s="177"/>
      <c r="C17" s="526"/>
      <c r="D17" s="527"/>
      <c r="E17" s="527"/>
      <c r="F17" s="527"/>
      <c r="G17" s="527"/>
      <c r="H17" s="255"/>
      <c r="I17" s="252"/>
      <c r="J17" s="35"/>
      <c r="K17" s="25"/>
      <c r="L17" s="79"/>
      <c r="M17" s="25"/>
      <c r="N17" s="270"/>
    </row>
    <row r="18" spans="2:14" x14ac:dyDescent="0.25">
      <c r="B18" s="177"/>
      <c r="C18" s="254"/>
      <c r="D18" s="255"/>
      <c r="E18" s="255"/>
      <c r="F18" s="255"/>
      <c r="G18" s="255"/>
      <c r="H18" s="255"/>
      <c r="I18" s="252"/>
      <c r="J18" s="35"/>
      <c r="K18" s="25"/>
      <c r="L18" s="79"/>
      <c r="M18" s="25"/>
      <c r="N18" s="270"/>
    </row>
    <row r="19" spans="2:14" x14ac:dyDescent="0.25">
      <c r="B19" s="177"/>
      <c r="C19" s="565" t="s">
        <v>399</v>
      </c>
      <c r="D19" s="566"/>
      <c r="E19" s="566"/>
      <c r="F19" s="566"/>
      <c r="G19" s="566"/>
      <c r="H19" s="251"/>
      <c r="I19" s="94"/>
      <c r="J19" s="37"/>
      <c r="K19" s="25"/>
      <c r="L19" s="79"/>
      <c r="M19" s="25"/>
      <c r="N19" s="270"/>
    </row>
    <row r="20" spans="2:14" ht="31.5" x14ac:dyDescent="0.25">
      <c r="B20" s="177"/>
      <c r="C20" s="256" t="s">
        <v>15</v>
      </c>
      <c r="D20" s="256" t="s">
        <v>14</v>
      </c>
      <c r="E20" s="256" t="s">
        <v>13</v>
      </c>
      <c r="F20" s="256" t="s">
        <v>12</v>
      </c>
      <c r="G20" s="469" t="s">
        <v>11</v>
      </c>
      <c r="H20" s="469"/>
      <c r="I20" s="256" t="s">
        <v>10</v>
      </c>
      <c r="J20" s="36"/>
      <c r="K20" s="25"/>
      <c r="L20" s="79"/>
      <c r="M20" s="25"/>
      <c r="N20" s="270"/>
    </row>
    <row r="21" spans="2:14" x14ac:dyDescent="0.25">
      <c r="B21" s="177"/>
      <c r="C21" s="212">
        <v>20</v>
      </c>
      <c r="D21" s="220" t="s">
        <v>479</v>
      </c>
      <c r="E21" s="220" t="s">
        <v>132</v>
      </c>
      <c r="F21" s="150" t="s">
        <v>480</v>
      </c>
      <c r="G21" s="600"/>
      <c r="H21" s="601"/>
      <c r="I21" s="597"/>
      <c r="J21" s="219">
        <v>20</v>
      </c>
      <c r="K21" s="90" t="s">
        <v>55</v>
      </c>
      <c r="L21" s="81">
        <v>200</v>
      </c>
      <c r="M21" s="90"/>
      <c r="N21" s="271">
        <f>J21*L21*3</f>
        <v>12000</v>
      </c>
    </row>
    <row r="22" spans="2:14" x14ac:dyDescent="0.25">
      <c r="B22" s="177"/>
      <c r="C22" s="212">
        <v>20</v>
      </c>
      <c r="D22" s="220" t="s">
        <v>51</v>
      </c>
      <c r="E22" s="220" t="s">
        <v>132</v>
      </c>
      <c r="F22" s="150" t="s">
        <v>480</v>
      </c>
      <c r="G22" s="602"/>
      <c r="H22" s="603"/>
      <c r="I22" s="597"/>
      <c r="J22" s="219">
        <v>20</v>
      </c>
      <c r="K22" s="90" t="s">
        <v>55</v>
      </c>
      <c r="L22" s="81">
        <v>150</v>
      </c>
      <c r="M22" s="90"/>
      <c r="N22" s="271">
        <f t="shared" ref="N22:N25" si="0">J22*L22*3</f>
        <v>9000</v>
      </c>
    </row>
    <row r="23" spans="2:14" x14ac:dyDescent="0.25">
      <c r="B23" s="177"/>
      <c r="C23" s="212">
        <v>20</v>
      </c>
      <c r="D23" s="220" t="s">
        <v>9</v>
      </c>
      <c r="E23" s="220" t="s">
        <v>132</v>
      </c>
      <c r="F23" s="150" t="s">
        <v>480</v>
      </c>
      <c r="G23" s="602"/>
      <c r="H23" s="603"/>
      <c r="I23" s="597"/>
      <c r="J23" s="219">
        <v>20</v>
      </c>
      <c r="K23" s="90" t="s">
        <v>55</v>
      </c>
      <c r="L23" s="81">
        <v>200</v>
      </c>
      <c r="M23" s="90"/>
      <c r="N23" s="271">
        <f t="shared" si="0"/>
        <v>12000</v>
      </c>
    </row>
    <row r="24" spans="2:14" x14ac:dyDescent="0.25">
      <c r="B24" s="177"/>
      <c r="C24" s="212">
        <v>20</v>
      </c>
      <c r="D24" s="220" t="s">
        <v>133</v>
      </c>
      <c r="E24" s="220" t="s">
        <v>132</v>
      </c>
      <c r="F24" s="150" t="s">
        <v>480</v>
      </c>
      <c r="G24" s="602"/>
      <c r="H24" s="603"/>
      <c r="I24" s="597"/>
      <c r="J24" s="219">
        <v>20</v>
      </c>
      <c r="K24" s="90" t="s">
        <v>55</v>
      </c>
      <c r="L24" s="81">
        <v>150</v>
      </c>
      <c r="M24" s="90"/>
      <c r="N24" s="271">
        <f t="shared" si="0"/>
        <v>9000</v>
      </c>
    </row>
    <row r="25" spans="2:14" x14ac:dyDescent="0.25">
      <c r="B25" s="177"/>
      <c r="C25" s="212">
        <v>20</v>
      </c>
      <c r="D25" s="220" t="s">
        <v>446</v>
      </c>
      <c r="E25" s="220" t="s">
        <v>132</v>
      </c>
      <c r="F25" s="150" t="s">
        <v>480</v>
      </c>
      <c r="G25" s="604"/>
      <c r="H25" s="605"/>
      <c r="I25" s="598"/>
      <c r="J25" s="219">
        <v>20</v>
      </c>
      <c r="K25" s="90" t="s">
        <v>55</v>
      </c>
      <c r="L25" s="98">
        <v>200</v>
      </c>
      <c r="M25" s="90"/>
      <c r="N25" s="271">
        <f t="shared" si="0"/>
        <v>12000</v>
      </c>
    </row>
    <row r="26" spans="2:14" x14ac:dyDescent="0.25">
      <c r="B26" s="177"/>
      <c r="C26" s="523"/>
      <c r="D26" s="524"/>
      <c r="E26" s="524"/>
      <c r="F26" s="524"/>
      <c r="G26" s="524"/>
      <c r="H26" s="524"/>
      <c r="I26" s="525"/>
      <c r="J26" s="257"/>
      <c r="K26" s="25"/>
      <c r="L26" s="79"/>
      <c r="M26" s="25"/>
      <c r="N26" s="270"/>
    </row>
    <row r="27" spans="2:14" x14ac:dyDescent="0.25">
      <c r="B27" s="177"/>
      <c r="C27" s="561"/>
      <c r="D27" s="562"/>
      <c r="E27" s="562"/>
      <c r="F27" s="562"/>
      <c r="G27" s="562"/>
      <c r="H27" s="562"/>
      <c r="I27" s="563"/>
      <c r="J27" s="257"/>
      <c r="K27" s="25"/>
      <c r="L27" s="79"/>
      <c r="M27" s="25"/>
      <c r="N27" s="270"/>
    </row>
    <row r="28" spans="2:14" x14ac:dyDescent="0.25">
      <c r="B28" s="177"/>
      <c r="C28" s="95"/>
      <c r="D28" s="251" t="s">
        <v>50</v>
      </c>
      <c r="E28" s="251"/>
      <c r="F28" s="251"/>
      <c r="G28" s="251"/>
      <c r="H28" s="251"/>
      <c r="I28" s="116"/>
      <c r="J28" s="257"/>
      <c r="K28" s="25"/>
      <c r="L28" s="79"/>
      <c r="M28" s="25"/>
      <c r="N28" s="270"/>
    </row>
    <row r="29" spans="2:14" x14ac:dyDescent="0.25">
      <c r="B29" s="179"/>
      <c r="C29" s="475"/>
      <c r="D29" s="518"/>
      <c r="E29" s="518"/>
      <c r="F29" s="518"/>
      <c r="G29" s="518"/>
      <c r="H29" s="253"/>
      <c r="I29" s="97"/>
      <c r="J29" s="84"/>
      <c r="K29" s="22"/>
      <c r="L29" s="85" t="s">
        <v>6</v>
      </c>
      <c r="M29" s="86" t="s">
        <v>5</v>
      </c>
      <c r="N29" s="274">
        <f>SUM(N21:N26)</f>
        <v>54000</v>
      </c>
    </row>
    <row r="30" spans="2:14" ht="15.6" customHeight="1" x14ac:dyDescent="0.25">
      <c r="B30" s="275" t="s">
        <v>4</v>
      </c>
      <c r="C30" s="557" t="s">
        <v>481</v>
      </c>
      <c r="D30" s="558"/>
      <c r="E30" s="558"/>
      <c r="F30" s="558"/>
      <c r="G30" s="558"/>
      <c r="H30" s="558"/>
      <c r="I30" s="558"/>
      <c r="J30" s="558"/>
      <c r="K30" s="558"/>
      <c r="L30" s="558"/>
      <c r="M30" s="558"/>
      <c r="N30" s="559"/>
    </row>
    <row r="31" spans="2:14" x14ac:dyDescent="0.25">
      <c r="B31" s="209"/>
      <c r="C31" s="445"/>
      <c r="D31" s="444"/>
      <c r="E31" s="444"/>
      <c r="F31" s="444"/>
      <c r="G31" s="444"/>
      <c r="H31" s="444"/>
      <c r="I31" s="446"/>
      <c r="J31" s="441" t="s">
        <v>3</v>
      </c>
      <c r="K31" s="442"/>
      <c r="L31" s="442"/>
      <c r="M31" s="442"/>
      <c r="N31" s="550"/>
    </row>
    <row r="32" spans="2:14" ht="57.6" customHeight="1" x14ac:dyDescent="0.25">
      <c r="B32" s="210" t="s">
        <v>2</v>
      </c>
      <c r="C32" s="507"/>
      <c r="D32" s="508"/>
      <c r="E32" s="508"/>
      <c r="F32" s="508"/>
      <c r="G32" s="508"/>
      <c r="H32" s="508"/>
      <c r="I32" s="509"/>
      <c r="J32" s="445"/>
      <c r="K32" s="444"/>
      <c r="L32" s="444"/>
      <c r="M32" s="444"/>
      <c r="N32" s="560"/>
    </row>
    <row r="33" spans="2:15" x14ac:dyDescent="0.25">
      <c r="B33" s="210" t="s">
        <v>1</v>
      </c>
      <c r="C33" s="513" t="s">
        <v>216</v>
      </c>
      <c r="D33" s="440"/>
      <c r="E33" s="440"/>
      <c r="F33" s="440"/>
      <c r="G33" s="440"/>
      <c r="H33" s="440"/>
      <c r="I33" s="514"/>
      <c r="J33" s="441" t="s">
        <v>380</v>
      </c>
      <c r="K33" s="442"/>
      <c r="L33" s="442"/>
      <c r="M33" s="442"/>
      <c r="N33" s="550"/>
    </row>
    <row r="34" spans="2:15" ht="16.5" thickBot="1" x14ac:dyDescent="0.3">
      <c r="B34" s="211" t="s">
        <v>0</v>
      </c>
      <c r="C34" s="551" t="s">
        <v>217</v>
      </c>
      <c r="D34" s="552"/>
      <c r="E34" s="552"/>
      <c r="F34" s="552"/>
      <c r="G34" s="552"/>
      <c r="H34" s="552"/>
      <c r="I34" s="553"/>
      <c r="J34" s="554" t="s">
        <v>32</v>
      </c>
      <c r="K34" s="555"/>
      <c r="L34" s="555"/>
      <c r="M34" s="555"/>
      <c r="N34" s="556"/>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B6:N6"/>
    <mergeCell ref="B1:N1"/>
    <mergeCell ref="B2:N2"/>
    <mergeCell ref="B3:N3"/>
    <mergeCell ref="B4:N4"/>
    <mergeCell ref="B5:N5"/>
    <mergeCell ref="C19:G19"/>
    <mergeCell ref="G20:H20"/>
    <mergeCell ref="I21:I25"/>
    <mergeCell ref="B7:N7"/>
    <mergeCell ref="B9:N9"/>
    <mergeCell ref="C13:I13"/>
    <mergeCell ref="M13:N13"/>
    <mergeCell ref="C15:I16"/>
    <mergeCell ref="C17:G17"/>
    <mergeCell ref="G21:H25"/>
    <mergeCell ref="C34:I34"/>
    <mergeCell ref="J34:N34"/>
    <mergeCell ref="C26:I26"/>
    <mergeCell ref="C27:I27"/>
    <mergeCell ref="C29:G29"/>
    <mergeCell ref="C30:N30"/>
    <mergeCell ref="C31:I31"/>
    <mergeCell ref="J31:N31"/>
    <mergeCell ref="C32:I32"/>
    <mergeCell ref="J32:N32"/>
    <mergeCell ref="C33:I33"/>
    <mergeCell ref="J33:N33"/>
  </mergeCells>
  <printOptions horizontalCentered="1"/>
  <pageMargins left="0.25" right="0.25" top="0.75" bottom="0.75" header="0.3" footer="0.3"/>
  <pageSetup paperSize="9" scale="59" fitToHeight="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3969-30F4-4C98-A8F6-403417D196EA}">
  <sheetPr>
    <tabColor theme="9"/>
    <pageSetUpPr fitToPage="1"/>
  </sheetPr>
  <dimension ref="A1:M39"/>
  <sheetViews>
    <sheetView view="pageBreakPreview" topLeftCell="A6" zoomScale="85" zoomScaleNormal="100" zoomScaleSheetLayoutView="85" workbookViewId="0">
      <selection activeCell="M13" sqref="M13:M39"/>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22" t="s">
        <v>28</v>
      </c>
      <c r="C1" s="422"/>
      <c r="D1" s="422"/>
      <c r="E1" s="422"/>
      <c r="F1" s="422"/>
      <c r="G1" s="422"/>
      <c r="H1" s="422"/>
      <c r="I1" s="422"/>
      <c r="J1" s="422"/>
      <c r="K1" s="422"/>
      <c r="L1" s="422"/>
    </row>
    <row r="2" spans="1:13" ht="18" x14ac:dyDescent="0.25">
      <c r="A2" s="423" t="s">
        <v>27</v>
      </c>
      <c r="B2" s="423"/>
      <c r="C2" s="423"/>
      <c r="D2" s="423"/>
      <c r="E2" s="423"/>
      <c r="F2" s="423"/>
      <c r="G2" s="423"/>
      <c r="H2" s="423"/>
      <c r="I2" s="423"/>
      <c r="J2" s="423"/>
      <c r="K2" s="423"/>
      <c r="L2" s="423"/>
      <c r="M2" s="423"/>
    </row>
    <row r="3" spans="1:13" ht="16.149999999999999" customHeight="1" x14ac:dyDescent="0.25">
      <c r="A3" s="575" t="s">
        <v>442</v>
      </c>
      <c r="B3" s="576"/>
      <c r="C3" s="576"/>
      <c r="D3" s="576"/>
      <c r="E3" s="576"/>
      <c r="F3" s="576"/>
      <c r="G3" s="576"/>
      <c r="H3" s="576"/>
      <c r="I3" s="576"/>
      <c r="J3" s="576"/>
      <c r="K3" s="576"/>
      <c r="L3" s="576"/>
      <c r="M3" s="577"/>
    </row>
    <row r="4" spans="1:13" x14ac:dyDescent="0.25">
      <c r="A4" s="606" t="s">
        <v>393</v>
      </c>
      <c r="B4" s="606"/>
      <c r="C4" s="606"/>
      <c r="D4" s="606"/>
      <c r="E4" s="606"/>
      <c r="F4" s="606"/>
      <c r="G4" s="606"/>
      <c r="H4" s="606"/>
      <c r="I4" s="606"/>
      <c r="J4" s="606"/>
      <c r="K4" s="606"/>
      <c r="L4" s="606"/>
      <c r="M4" s="606"/>
    </row>
    <row r="5" spans="1:13" x14ac:dyDescent="0.25">
      <c r="A5" s="599" t="s">
        <v>394</v>
      </c>
      <c r="B5" s="599"/>
      <c r="C5" s="599"/>
      <c r="D5" s="599"/>
      <c r="E5" s="599"/>
      <c r="F5" s="599"/>
      <c r="G5" s="599"/>
      <c r="H5" s="599"/>
      <c r="I5" s="599"/>
      <c r="J5" s="599"/>
      <c r="K5" s="599"/>
      <c r="L5" s="599"/>
      <c r="M5" s="599"/>
    </row>
    <row r="6" spans="1:13" x14ac:dyDescent="0.25">
      <c r="A6" s="599" t="s">
        <v>395</v>
      </c>
      <c r="B6" s="599"/>
      <c r="C6" s="599"/>
      <c r="D6" s="599"/>
      <c r="E6" s="599"/>
      <c r="F6" s="599"/>
      <c r="G6" s="599"/>
      <c r="H6" s="599"/>
      <c r="I6" s="599"/>
      <c r="J6" s="599"/>
      <c r="K6" s="599"/>
      <c r="L6" s="599"/>
      <c r="M6" s="599"/>
    </row>
    <row r="7" spans="1:13" ht="16.149999999999999" customHeight="1" x14ac:dyDescent="0.25">
      <c r="A7" s="599" t="s">
        <v>396</v>
      </c>
      <c r="B7" s="599"/>
      <c r="C7" s="599"/>
      <c r="D7" s="599"/>
      <c r="E7" s="599"/>
      <c r="F7" s="599"/>
      <c r="G7" s="599"/>
      <c r="H7" s="599"/>
      <c r="I7" s="599"/>
      <c r="J7" s="599"/>
      <c r="K7" s="599"/>
      <c r="L7" s="599"/>
      <c r="M7" s="599"/>
    </row>
    <row r="8" spans="1:13" x14ac:dyDescent="0.25">
      <c r="A8" s="599" t="s">
        <v>397</v>
      </c>
      <c r="B8" s="599"/>
      <c r="C8" s="599"/>
      <c r="D8" s="599"/>
      <c r="E8" s="599"/>
      <c r="F8" s="599"/>
      <c r="G8" s="599"/>
      <c r="H8" s="599"/>
      <c r="I8" s="599"/>
      <c r="J8" s="599"/>
      <c r="K8" s="599"/>
      <c r="L8" s="599"/>
      <c r="M8" s="599"/>
    </row>
    <row r="9" spans="1:13" ht="34.15" customHeight="1" x14ac:dyDescent="0.25">
      <c r="B9" s="31"/>
      <c r="C9" s="30"/>
      <c r="D9" s="38"/>
      <c r="E9" s="38"/>
      <c r="F9" s="38"/>
      <c r="G9" s="38"/>
      <c r="H9" s="38"/>
      <c r="I9" s="29" t="s">
        <v>398</v>
      </c>
      <c r="J9" s="39"/>
      <c r="K9" s="27"/>
      <c r="L9" s="40" t="s">
        <v>536</v>
      </c>
    </row>
    <row r="10" spans="1:13" ht="21" customHeight="1" x14ac:dyDescent="0.25">
      <c r="B10" s="25" t="s">
        <v>26</v>
      </c>
      <c r="C10" s="427" t="s">
        <v>30</v>
      </c>
      <c r="D10" s="427"/>
      <c r="E10" s="427"/>
      <c r="F10" s="427"/>
      <c r="G10" s="427"/>
      <c r="H10" s="427"/>
      <c r="I10" s="24" t="s">
        <v>25</v>
      </c>
      <c r="L10" s="42" t="s">
        <v>22</v>
      </c>
    </row>
    <row r="11" spans="1:13" ht="18.600000000000001" customHeight="1" x14ac:dyDescent="0.25">
      <c r="B11" s="22" t="s">
        <v>24</v>
      </c>
      <c r="C11" s="72" t="s">
        <v>47</v>
      </c>
      <c r="D11" s="71"/>
      <c r="E11" s="71"/>
      <c r="F11" s="71"/>
      <c r="G11" s="71"/>
      <c r="H11" s="71"/>
      <c r="I11" s="20" t="s">
        <v>23</v>
      </c>
      <c r="J11" s="43"/>
      <c r="K11" s="13"/>
      <c r="L11" s="44" t="s">
        <v>22</v>
      </c>
    </row>
    <row r="12" spans="1:13" ht="31.5" customHeight="1" x14ac:dyDescent="0.25">
      <c r="B12" s="142" t="s">
        <v>29</v>
      </c>
      <c r="C12" s="428" t="s">
        <v>19</v>
      </c>
      <c r="D12" s="462"/>
      <c r="E12" s="462"/>
      <c r="F12" s="462"/>
      <c r="G12" s="429"/>
      <c r="H12" s="143" t="s">
        <v>21</v>
      </c>
      <c r="I12" s="33" t="s">
        <v>20</v>
      </c>
      <c r="J12" s="47" t="s">
        <v>18</v>
      </c>
      <c r="K12" s="430" t="s">
        <v>17</v>
      </c>
      <c r="L12" s="431"/>
    </row>
    <row r="13" spans="1:13" ht="21.75" customHeight="1" x14ac:dyDescent="0.25">
      <c r="B13" s="31"/>
      <c r="C13" s="48"/>
      <c r="D13" s="49"/>
      <c r="E13" s="49"/>
      <c r="F13" s="49"/>
      <c r="G13" s="130"/>
      <c r="H13" s="130"/>
      <c r="I13" s="12"/>
      <c r="J13" s="50"/>
      <c r="K13" s="27"/>
      <c r="L13" s="51"/>
    </row>
    <row r="14" spans="1:13" ht="20.25" customHeight="1" x14ac:dyDescent="0.25">
      <c r="B14" s="100"/>
      <c r="C14" s="106"/>
      <c r="D14" s="102"/>
      <c r="E14" s="102"/>
      <c r="F14" s="102"/>
      <c r="G14" s="103"/>
      <c r="H14" s="103"/>
      <c r="I14" s="11"/>
      <c r="J14" s="52"/>
      <c r="L14" s="53"/>
    </row>
    <row r="15" spans="1:13" x14ac:dyDescent="0.25">
      <c r="B15" s="100"/>
      <c r="C15" s="539" t="s">
        <v>534</v>
      </c>
      <c r="D15" s="540"/>
      <c r="E15" s="540"/>
      <c r="F15" s="540"/>
      <c r="G15" s="541"/>
      <c r="H15" s="103"/>
      <c r="I15" s="11"/>
      <c r="J15" s="52"/>
      <c r="L15" s="53"/>
    </row>
    <row r="16" spans="1:13" x14ac:dyDescent="0.25">
      <c r="B16" s="100"/>
      <c r="C16" s="542"/>
      <c r="D16" s="543"/>
      <c r="E16" s="543"/>
      <c r="F16" s="543"/>
      <c r="G16" s="544"/>
      <c r="H16" s="103"/>
      <c r="I16" s="11"/>
      <c r="J16" s="52"/>
      <c r="L16" s="53"/>
    </row>
    <row r="17" spans="2:12" x14ac:dyDescent="0.25">
      <c r="B17" s="100"/>
      <c r="C17" s="60" t="s">
        <v>21</v>
      </c>
      <c r="D17" s="469" t="s">
        <v>41</v>
      </c>
      <c r="E17" s="469"/>
      <c r="F17" s="469" t="s">
        <v>42</v>
      </c>
      <c r="G17" s="469"/>
      <c r="H17" s="129"/>
      <c r="I17" s="11"/>
      <c r="J17" s="52"/>
      <c r="K17" s="59"/>
      <c r="L17" s="53"/>
    </row>
    <row r="18" spans="2:12" x14ac:dyDescent="0.25">
      <c r="B18" s="100"/>
      <c r="C18" s="70">
        <v>20</v>
      </c>
      <c r="D18" s="470" t="s">
        <v>535</v>
      </c>
      <c r="E18" s="471"/>
      <c r="F18" s="537" t="s">
        <v>540</v>
      </c>
      <c r="G18" s="538"/>
      <c r="H18" s="129">
        <v>20</v>
      </c>
      <c r="I18" s="11" t="s">
        <v>53</v>
      </c>
      <c r="J18" s="113">
        <v>45</v>
      </c>
      <c r="K18" s="59"/>
      <c r="L18" s="119">
        <f>H18*J18</f>
        <v>900</v>
      </c>
    </row>
    <row r="19" spans="2:12" x14ac:dyDescent="0.25">
      <c r="B19" s="100"/>
      <c r="C19" s="147" t="s">
        <v>40</v>
      </c>
      <c r="D19" s="148"/>
      <c r="E19" s="148"/>
      <c r="F19" s="133"/>
      <c r="G19" s="134"/>
      <c r="H19" s="135"/>
      <c r="I19" s="78"/>
      <c r="J19" s="113"/>
      <c r="K19" s="89"/>
      <c r="L19" s="119"/>
    </row>
    <row r="20" spans="2:12" x14ac:dyDescent="0.25">
      <c r="B20" s="100"/>
      <c r="C20" s="106" t="s">
        <v>538</v>
      </c>
      <c r="D20" s="218"/>
      <c r="E20" s="218"/>
      <c r="F20" s="221"/>
      <c r="G20" s="135"/>
      <c r="H20" s="135"/>
      <c r="I20" s="78"/>
      <c r="J20" s="113"/>
      <c r="K20" s="89"/>
      <c r="L20" s="119"/>
    </row>
    <row r="21" spans="2:12" x14ac:dyDescent="0.25">
      <c r="B21" s="100"/>
      <c r="C21" s="149" t="s">
        <v>539</v>
      </c>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ht="33" customHeight="1"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ht="15.75" customHeight="1"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900</v>
      </c>
    </row>
    <row r="33" spans="2:12" ht="16.5" x14ac:dyDescent="0.25">
      <c r="B33" s="88" t="s">
        <v>4</v>
      </c>
      <c r="C33" s="534" t="s">
        <v>537</v>
      </c>
      <c r="D33" s="535"/>
      <c r="E33" s="535"/>
      <c r="F33" s="535"/>
      <c r="G33" s="535"/>
      <c r="H33" s="535"/>
      <c r="I33" s="535"/>
      <c r="J33" s="535"/>
      <c r="K33" s="535"/>
      <c r="L33" s="536"/>
    </row>
    <row r="34" spans="2:12" x14ac:dyDescent="0.25">
      <c r="B34" s="136"/>
      <c r="C34" s="137"/>
      <c r="D34" s="138"/>
      <c r="E34" s="138"/>
      <c r="F34" s="138"/>
      <c r="G34" s="138"/>
      <c r="H34" s="138"/>
      <c r="I34" s="138"/>
      <c r="J34" s="138"/>
      <c r="K34" s="138"/>
      <c r="L34" s="141"/>
    </row>
    <row r="35" spans="2:12" x14ac:dyDescent="0.25">
      <c r="B35" s="73"/>
      <c r="C35" s="445"/>
      <c r="D35" s="444"/>
      <c r="E35" s="444"/>
      <c r="F35" s="444"/>
      <c r="G35" s="444"/>
      <c r="H35" s="441" t="s">
        <v>3</v>
      </c>
      <c r="I35" s="442"/>
      <c r="J35" s="442"/>
      <c r="K35" s="442"/>
      <c r="L35" s="443"/>
    </row>
    <row r="36" spans="2:12" x14ac:dyDescent="0.25">
      <c r="B36" s="25"/>
      <c r="C36" s="450"/>
      <c r="D36" s="480"/>
      <c r="E36" s="480"/>
      <c r="F36" s="480"/>
      <c r="G36" s="451"/>
      <c r="H36" s="454"/>
      <c r="I36" s="455"/>
      <c r="J36" s="455"/>
      <c r="K36" s="455"/>
      <c r="L36" s="456"/>
    </row>
    <row r="37" spans="2:12" x14ac:dyDescent="0.25">
      <c r="B37" s="78" t="s">
        <v>2</v>
      </c>
      <c r="C37" s="452"/>
      <c r="D37" s="481"/>
      <c r="E37" s="481"/>
      <c r="F37" s="481"/>
      <c r="G37" s="453"/>
      <c r="H37" s="457"/>
      <c r="I37" s="458"/>
      <c r="J37" s="458"/>
      <c r="K37" s="458"/>
      <c r="L37" s="459"/>
    </row>
    <row r="38" spans="2:12" x14ac:dyDescent="0.25">
      <c r="B38" s="78" t="s">
        <v>1</v>
      </c>
      <c r="C38" s="440" t="s">
        <v>216</v>
      </c>
      <c r="D38" s="440"/>
      <c r="E38" s="440"/>
      <c r="F38" s="440"/>
      <c r="G38" s="440"/>
      <c r="H38" s="441" t="s">
        <v>521</v>
      </c>
      <c r="I38" s="442"/>
      <c r="J38" s="442"/>
      <c r="K38" s="442"/>
      <c r="L38" s="443"/>
    </row>
    <row r="39" spans="2:12" x14ac:dyDescent="0.25">
      <c r="B39" s="83" t="s">
        <v>0</v>
      </c>
      <c r="C39" s="444" t="s">
        <v>227</v>
      </c>
      <c r="D39" s="444"/>
      <c r="E39" s="444"/>
      <c r="F39" s="444"/>
      <c r="G39" s="444"/>
      <c r="H39" s="445" t="s">
        <v>522</v>
      </c>
      <c r="I39" s="444"/>
      <c r="J39" s="444"/>
      <c r="K39" s="444"/>
      <c r="L39" s="446"/>
    </row>
  </sheetData>
  <mergeCells count="25">
    <mergeCell ref="A6:M6"/>
    <mergeCell ref="B1:L1"/>
    <mergeCell ref="A2:M2"/>
    <mergeCell ref="A3:M3"/>
    <mergeCell ref="A4:M4"/>
    <mergeCell ref="A5:M5"/>
    <mergeCell ref="C35:G35"/>
    <mergeCell ref="H35:L35"/>
    <mergeCell ref="A7:M7"/>
    <mergeCell ref="A8:M8"/>
    <mergeCell ref="C10:H10"/>
    <mergeCell ref="C12:G12"/>
    <mergeCell ref="K12:L12"/>
    <mergeCell ref="C15:G16"/>
    <mergeCell ref="D17:E17"/>
    <mergeCell ref="F17:G17"/>
    <mergeCell ref="D18:E18"/>
    <mergeCell ref="F18:G18"/>
    <mergeCell ref="C33:L33"/>
    <mergeCell ref="C36:G37"/>
    <mergeCell ref="H36:L37"/>
    <mergeCell ref="C38:G38"/>
    <mergeCell ref="H38:L38"/>
    <mergeCell ref="C39:G39"/>
    <mergeCell ref="H39:L39"/>
  </mergeCells>
  <pageMargins left="0.23622047244094491" right="0.23622047244094491" top="1.1417322834645669" bottom="0.74803149606299213" header="0.31496062992125984" footer="0.31496062992125984"/>
  <pageSetup paperSize="9" scale="73"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7DCA2-A598-48D5-8852-37BE0ABFCEAA}">
  <sheetPr>
    <tabColor theme="9"/>
    <pageSetUpPr fitToPage="1"/>
  </sheetPr>
  <dimension ref="B1:R55"/>
  <sheetViews>
    <sheetView view="pageBreakPreview" zoomScale="70" zoomScaleNormal="100" zoomScaleSheetLayoutView="70" workbookViewId="0">
      <selection activeCell="C50" sqref="C50:I50"/>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447</v>
      </c>
      <c r="L4" s="28"/>
      <c r="M4" s="29"/>
      <c r="N4" s="26" t="s">
        <v>476</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ht="39" customHeight="1" x14ac:dyDescent="0.25">
      <c r="B8" s="277"/>
      <c r="C8" s="278"/>
      <c r="D8" s="92"/>
      <c r="E8" s="92"/>
      <c r="F8" s="92"/>
      <c r="G8" s="92"/>
      <c r="H8" s="92"/>
      <c r="I8" s="92"/>
      <c r="J8" s="33"/>
      <c r="K8" s="16"/>
      <c r="L8" s="17"/>
      <c r="M8" s="16"/>
      <c r="N8" s="15"/>
    </row>
    <row r="9" spans="2:18" x14ac:dyDescent="0.25">
      <c r="B9" s="78"/>
      <c r="C9" s="523" t="s">
        <v>473</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17.2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410</v>
      </c>
      <c r="D13" s="564"/>
      <c r="E13" s="564"/>
      <c r="F13" s="564"/>
      <c r="G13" s="564"/>
      <c r="H13" s="564"/>
      <c r="I13" s="439"/>
      <c r="J13" s="279"/>
      <c r="K13" s="25"/>
      <c r="L13" s="79"/>
      <c r="M13" s="25"/>
      <c r="N13" s="80"/>
    </row>
    <row r="14" spans="2:18" ht="15.75" customHeight="1" x14ac:dyDescent="0.25">
      <c r="B14" s="78"/>
      <c r="C14" s="438" t="s">
        <v>474</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33" customHeight="1" x14ac:dyDescent="0.25">
      <c r="B17" s="78"/>
      <c r="C17" s="256" t="s">
        <v>15</v>
      </c>
      <c r="D17" s="256" t="s">
        <v>14</v>
      </c>
      <c r="E17" s="256" t="s">
        <v>13</v>
      </c>
      <c r="F17" s="256" t="s">
        <v>12</v>
      </c>
      <c r="G17" s="469" t="s">
        <v>11</v>
      </c>
      <c r="H17" s="469"/>
      <c r="I17" s="231" t="s">
        <v>10</v>
      </c>
      <c r="J17" s="36"/>
      <c r="K17" s="25"/>
      <c r="L17" s="79"/>
      <c r="M17" s="25"/>
      <c r="N17" s="80"/>
    </row>
    <row r="18" spans="2:14" ht="52.9" customHeight="1" x14ac:dyDescent="0.25">
      <c r="B18" s="78"/>
      <c r="C18" s="494">
        <v>40</v>
      </c>
      <c r="D18" s="220" t="s">
        <v>51</v>
      </c>
      <c r="E18" s="220" t="s">
        <v>145</v>
      </c>
      <c r="F18" s="282">
        <v>45450</v>
      </c>
      <c r="G18" s="506" t="s">
        <v>391</v>
      </c>
      <c r="H18" s="506"/>
      <c r="I18" s="283"/>
      <c r="J18" s="219">
        <v>36</v>
      </c>
      <c r="K18" s="25"/>
      <c r="L18" s="98">
        <v>200</v>
      </c>
      <c r="M18" s="25"/>
      <c r="N18" s="82">
        <f>J18*L18</f>
        <v>7200</v>
      </c>
    </row>
    <row r="19" spans="2:14" ht="107.45" customHeight="1" x14ac:dyDescent="0.25">
      <c r="B19" s="78"/>
      <c r="C19" s="495"/>
      <c r="D19" s="220" t="s">
        <v>9</v>
      </c>
      <c r="E19" s="220" t="s">
        <v>147</v>
      </c>
      <c r="F19" s="282">
        <v>45450</v>
      </c>
      <c r="G19" s="506" t="s">
        <v>390</v>
      </c>
      <c r="H19" s="506"/>
      <c r="I19" s="283"/>
      <c r="J19" s="219">
        <v>36</v>
      </c>
      <c r="K19" s="25"/>
      <c r="L19" s="81">
        <v>400</v>
      </c>
      <c r="M19" s="25"/>
      <c r="N19" s="82">
        <f t="shared" ref="N19:N20" si="0">J19*L19</f>
        <v>14400</v>
      </c>
    </row>
    <row r="20" spans="2:14" ht="46.5" customHeight="1" x14ac:dyDescent="0.25">
      <c r="B20" s="78"/>
      <c r="C20" s="495"/>
      <c r="D20" s="220" t="s">
        <v>133</v>
      </c>
      <c r="E20" s="220" t="s">
        <v>145</v>
      </c>
      <c r="F20" s="282">
        <v>45450</v>
      </c>
      <c r="G20" s="506" t="s">
        <v>392</v>
      </c>
      <c r="H20" s="506"/>
      <c r="I20" s="283"/>
      <c r="J20" s="219">
        <v>36</v>
      </c>
      <c r="K20" s="25"/>
      <c r="L20" s="98">
        <v>200</v>
      </c>
      <c r="M20" s="25"/>
      <c r="N20" s="82">
        <f t="shared" si="0"/>
        <v>7200</v>
      </c>
    </row>
    <row r="21" spans="2:14" ht="18" customHeight="1" x14ac:dyDescent="0.25">
      <c r="B21" s="78"/>
      <c r="C21" s="529"/>
      <c r="D21" s="530"/>
      <c r="E21" s="530"/>
      <c r="F21" s="530"/>
      <c r="G21" s="530"/>
      <c r="H21" s="530"/>
      <c r="I21" s="473"/>
      <c r="J21" s="257"/>
      <c r="K21" s="24"/>
      <c r="L21" s="79"/>
      <c r="M21" s="25"/>
      <c r="N21" s="80"/>
    </row>
    <row r="22" spans="2:14" ht="15.75" customHeight="1" x14ac:dyDescent="0.25">
      <c r="B22" s="78"/>
      <c r="C22" s="221"/>
      <c r="D22" s="221"/>
      <c r="E22" s="221"/>
      <c r="F22" s="221"/>
      <c r="G22" s="221"/>
      <c r="H22" s="221"/>
      <c r="I22" s="135"/>
      <c r="J22" s="135"/>
      <c r="K22" s="24"/>
      <c r="L22" s="79"/>
      <c r="M22" s="25"/>
      <c r="N22" s="80"/>
    </row>
    <row r="23" spans="2:14" ht="15.75" customHeight="1" x14ac:dyDescent="0.25">
      <c r="B23" s="78"/>
      <c r="C23" s="591" t="s">
        <v>151</v>
      </c>
      <c r="D23" s="592"/>
      <c r="E23" s="592"/>
      <c r="F23" s="592"/>
      <c r="G23" s="592"/>
      <c r="H23" s="592"/>
      <c r="I23" s="596"/>
      <c r="J23" s="135"/>
      <c r="K23" s="25"/>
      <c r="L23" s="79"/>
      <c r="M23" s="25"/>
      <c r="N23" s="80"/>
    </row>
    <row r="24" spans="2:14" ht="15" customHeight="1" x14ac:dyDescent="0.25">
      <c r="B24" s="78"/>
      <c r="C24" s="338" t="s">
        <v>419</v>
      </c>
      <c r="D24"/>
      <c r="E24"/>
      <c r="F24"/>
      <c r="G24" s="339"/>
      <c r="H24" s="339"/>
      <c r="I24" s="340"/>
      <c r="J24" s="314"/>
      <c r="K24" s="25"/>
      <c r="L24" s="79"/>
      <c r="M24" s="25"/>
      <c r="N24" s="80"/>
    </row>
    <row r="25" spans="2:14" ht="15.75" customHeight="1" x14ac:dyDescent="0.25">
      <c r="B25" s="78"/>
      <c r="C25" s="341" t="s">
        <v>420</v>
      </c>
      <c r="D25"/>
      <c r="E25"/>
      <c r="F25"/>
      <c r="G25" s="339"/>
      <c r="H25" s="339"/>
      <c r="I25" s="340"/>
      <c r="J25" s="252"/>
      <c r="K25" s="25"/>
      <c r="L25" s="79"/>
      <c r="M25" s="25"/>
      <c r="N25" s="80"/>
    </row>
    <row r="26" spans="2:14" ht="15.75" customHeight="1" x14ac:dyDescent="0.25">
      <c r="B26" s="78"/>
      <c r="C26" s="341" t="s">
        <v>160</v>
      </c>
      <c r="D26"/>
      <c r="E26"/>
      <c r="F26"/>
      <c r="G26" s="339"/>
      <c r="H26" s="339"/>
      <c r="I26" s="340"/>
      <c r="J26" s="314"/>
      <c r="K26" s="25"/>
      <c r="L26" s="79"/>
      <c r="M26" s="25"/>
      <c r="N26" s="80"/>
    </row>
    <row r="27" spans="2:14" ht="15.75" customHeight="1" x14ac:dyDescent="0.25">
      <c r="B27" s="78"/>
      <c r="C27" s="341" t="s">
        <v>421</v>
      </c>
      <c r="D27"/>
      <c r="E27"/>
      <c r="F27"/>
      <c r="G27" s="339"/>
      <c r="H27" s="339"/>
      <c r="I27" s="340"/>
      <c r="J27" s="314"/>
      <c r="K27" s="25"/>
      <c r="L27" s="79"/>
      <c r="M27" s="25"/>
      <c r="N27" s="80"/>
    </row>
    <row r="28" spans="2:14" ht="15.75" customHeight="1" x14ac:dyDescent="0.25">
      <c r="B28" s="78"/>
      <c r="C28" s="593" t="s">
        <v>422</v>
      </c>
      <c r="D28" s="594"/>
      <c r="E28" s="594"/>
      <c r="F28" s="594"/>
      <c r="G28" s="594"/>
      <c r="H28" s="594"/>
      <c r="I28" s="595"/>
      <c r="J28" s="94"/>
      <c r="K28" s="25"/>
      <c r="L28" s="79"/>
      <c r="M28" s="25"/>
      <c r="N28" s="80"/>
    </row>
    <row r="29" spans="2:14" ht="15.75" customHeight="1" x14ac:dyDescent="0.25">
      <c r="B29" s="78"/>
      <c r="C29" s="593" t="s">
        <v>153</v>
      </c>
      <c r="D29" s="594"/>
      <c r="E29" s="594"/>
      <c r="F29" s="594"/>
      <c r="G29" s="594"/>
      <c r="H29" s="594"/>
      <c r="I29" s="595"/>
      <c r="J29" s="315"/>
      <c r="K29" s="25"/>
      <c r="L29" s="79"/>
      <c r="M29" s="25"/>
      <c r="N29" s="80"/>
    </row>
    <row r="30" spans="2:14" ht="15.75" customHeight="1" x14ac:dyDescent="0.25">
      <c r="B30" s="78"/>
      <c r="C30" s="342"/>
      <c r="D30" s="343"/>
      <c r="E30" s="343"/>
      <c r="F30" s="343"/>
      <c r="G30" s="343"/>
      <c r="H30" s="343"/>
      <c r="I30" s="344"/>
      <c r="J30" s="315"/>
      <c r="K30" s="25"/>
      <c r="L30" s="79"/>
      <c r="M30" s="25"/>
      <c r="N30" s="80"/>
    </row>
    <row r="31" spans="2:14" ht="15.75" customHeight="1" x14ac:dyDescent="0.25">
      <c r="B31" s="78"/>
      <c r="C31" s="591" t="s">
        <v>155</v>
      </c>
      <c r="D31" s="592"/>
      <c r="E31" s="592"/>
      <c r="F31" s="592"/>
      <c r="G31" s="592"/>
      <c r="H31" s="592"/>
      <c r="I31" s="596"/>
      <c r="J31" s="315"/>
      <c r="K31" s="25"/>
      <c r="L31" s="79"/>
      <c r="M31" s="25"/>
      <c r="N31" s="80"/>
    </row>
    <row r="32" spans="2:14" ht="15.75" customHeight="1" x14ac:dyDescent="0.25">
      <c r="B32" s="78"/>
      <c r="C32" s="588" t="s">
        <v>423</v>
      </c>
      <c r="D32" s="589"/>
      <c r="E32" s="589"/>
      <c r="F32" s="589"/>
      <c r="G32" s="589"/>
      <c r="H32" s="589"/>
      <c r="I32" s="590"/>
      <c r="J32" s="315"/>
      <c r="K32" s="25"/>
      <c r="L32" s="79"/>
      <c r="M32" s="25"/>
      <c r="N32" s="80"/>
    </row>
    <row r="33" spans="2:15" ht="15.75" customHeight="1" x14ac:dyDescent="0.25">
      <c r="B33" s="78"/>
      <c r="C33" s="593" t="s">
        <v>156</v>
      </c>
      <c r="D33" s="594"/>
      <c r="E33" s="594"/>
      <c r="F33" s="594"/>
      <c r="G33" s="594"/>
      <c r="H33" s="594"/>
      <c r="I33" s="595"/>
      <c r="J33" s="315"/>
      <c r="K33" s="25"/>
      <c r="L33" s="79"/>
      <c r="M33" s="25"/>
      <c r="N33" s="80"/>
    </row>
    <row r="34" spans="2:15" ht="15.75" customHeight="1" x14ac:dyDescent="0.25">
      <c r="B34" s="78"/>
      <c r="C34" s="588" t="s">
        <v>157</v>
      </c>
      <c r="D34" s="589"/>
      <c r="E34" s="589"/>
      <c r="F34" s="589"/>
      <c r="G34" s="589"/>
      <c r="H34" s="589"/>
      <c r="I34" s="590"/>
      <c r="J34" s="315"/>
      <c r="K34" s="25"/>
      <c r="L34" s="79"/>
      <c r="M34" s="25"/>
      <c r="N34" s="80"/>
    </row>
    <row r="35" spans="2:15" ht="15.75" customHeight="1" x14ac:dyDescent="0.25">
      <c r="B35" s="78"/>
      <c r="C35" s="588" t="s">
        <v>475</v>
      </c>
      <c r="D35" s="589"/>
      <c r="E35" s="589"/>
      <c r="F35" s="589"/>
      <c r="G35" s="589"/>
      <c r="H35" s="589"/>
      <c r="I35" s="590"/>
      <c r="J35" s="315"/>
      <c r="K35" s="25"/>
      <c r="L35" s="79"/>
      <c r="M35" s="25"/>
      <c r="N35" s="80"/>
    </row>
    <row r="36" spans="2:15" ht="15.75" customHeight="1" x14ac:dyDescent="0.25">
      <c r="B36" s="78"/>
      <c r="C36" s="588"/>
      <c r="D36" s="589"/>
      <c r="E36" s="589"/>
      <c r="F36" s="589"/>
      <c r="G36" s="589"/>
      <c r="H36" s="589"/>
      <c r="I36" s="590"/>
      <c r="J36" s="315"/>
      <c r="K36" s="25"/>
      <c r="L36" s="79"/>
      <c r="M36" s="25"/>
      <c r="N36" s="80"/>
    </row>
    <row r="37" spans="2:15" ht="15.75" customHeight="1" x14ac:dyDescent="0.25">
      <c r="B37" s="78"/>
      <c r="C37" s="588" t="s">
        <v>424</v>
      </c>
      <c r="D37" s="589"/>
      <c r="E37" s="589"/>
      <c r="F37" s="589"/>
      <c r="G37" s="589"/>
      <c r="H37" s="589"/>
      <c r="I37" s="590"/>
      <c r="J37" s="315"/>
      <c r="K37" s="25"/>
      <c r="L37" s="79"/>
      <c r="M37" s="25"/>
      <c r="N37" s="80"/>
    </row>
    <row r="38" spans="2:15" ht="15.75" customHeight="1" x14ac:dyDescent="0.25">
      <c r="B38" s="78"/>
      <c r="C38" s="567"/>
      <c r="D38" s="568"/>
      <c r="E38" s="568"/>
      <c r="F38" s="568"/>
      <c r="G38" s="568"/>
      <c r="H38" s="568"/>
      <c r="I38" s="569"/>
      <c r="J38" s="315"/>
      <c r="K38" s="25"/>
      <c r="L38" s="79"/>
      <c r="M38" s="25"/>
      <c r="N38" s="80"/>
    </row>
    <row r="39" spans="2:15" ht="15.75" customHeight="1" x14ac:dyDescent="0.25">
      <c r="B39" s="78"/>
      <c r="C39" s="591" t="s">
        <v>162</v>
      </c>
      <c r="D39" s="592"/>
      <c r="E39" s="592"/>
      <c r="F39" s="592"/>
      <c r="G39" s="592"/>
      <c r="H39" s="339"/>
      <c r="I39" s="347"/>
      <c r="J39" s="315"/>
      <c r="K39" s="25"/>
      <c r="L39" s="79"/>
      <c r="M39" s="25"/>
      <c r="N39" s="80"/>
    </row>
    <row r="40" spans="2:15" ht="15.75" customHeight="1" x14ac:dyDescent="0.25">
      <c r="B40" s="78"/>
      <c r="C40" s="593" t="s">
        <v>163</v>
      </c>
      <c r="D40" s="594"/>
      <c r="E40" s="594"/>
      <c r="F40" s="594"/>
      <c r="G40" s="594"/>
      <c r="H40" s="343"/>
      <c r="I40" s="345"/>
      <c r="J40" s="315"/>
      <c r="K40" s="25"/>
      <c r="L40" s="79"/>
      <c r="M40" s="25"/>
      <c r="N40" s="80"/>
    </row>
    <row r="41" spans="2:15" ht="15.75" customHeight="1" x14ac:dyDescent="0.25">
      <c r="B41" s="78"/>
      <c r="C41" s="593" t="s">
        <v>425</v>
      </c>
      <c r="D41" s="594"/>
      <c r="E41" s="594"/>
      <c r="F41" s="594"/>
      <c r="G41" s="594"/>
      <c r="H41" s="343"/>
      <c r="I41" s="345"/>
      <c r="J41" s="315"/>
      <c r="K41" s="25"/>
      <c r="L41" s="79"/>
      <c r="M41" s="25"/>
      <c r="N41" s="80"/>
    </row>
    <row r="42" spans="2:15" ht="15.6" customHeight="1" x14ac:dyDescent="0.25">
      <c r="B42" s="78"/>
      <c r="C42" s="288"/>
      <c r="D42" s="289"/>
      <c r="E42" s="289"/>
      <c r="F42" s="289"/>
      <c r="G42" s="289"/>
      <c r="H42" s="289"/>
      <c r="I42" s="115"/>
      <c r="J42" s="252"/>
      <c r="K42" s="25"/>
      <c r="L42" s="79"/>
      <c r="M42" s="25"/>
      <c r="N42" s="80"/>
    </row>
    <row r="43" spans="2:15" x14ac:dyDescent="0.25">
      <c r="B43" s="78"/>
      <c r="C43" s="352" t="s">
        <v>426</v>
      </c>
      <c r="D43" s="343"/>
      <c r="E43" s="343"/>
      <c r="F43" s="343"/>
      <c r="G43" s="343"/>
      <c r="H43" s="343"/>
      <c r="I43" s="115"/>
      <c r="J43" s="94"/>
      <c r="K43" s="25"/>
      <c r="L43" s="79"/>
      <c r="M43" s="25"/>
      <c r="N43" s="80"/>
    </row>
    <row r="44" spans="2:15" ht="34.15" customHeight="1" x14ac:dyDescent="0.25">
      <c r="B44" s="78"/>
      <c r="C44" s="570" t="s">
        <v>427</v>
      </c>
      <c r="D44" s="571"/>
      <c r="E44" s="571"/>
      <c r="F44" s="571"/>
      <c r="G44" s="571"/>
      <c r="H44" s="571"/>
      <c r="I44" s="572"/>
      <c r="J44" s="252"/>
      <c r="K44" s="25"/>
      <c r="L44" s="79"/>
      <c r="M44" s="25"/>
      <c r="N44" s="80"/>
    </row>
    <row r="45" spans="2:15" ht="15.75" customHeight="1" x14ac:dyDescent="0.25">
      <c r="B45" s="78"/>
      <c r="C45" s="349"/>
      <c r="D45"/>
      <c r="E45"/>
      <c r="F45"/>
      <c r="G45"/>
      <c r="H45" s="355"/>
      <c r="I45" s="94"/>
      <c r="J45" s="252"/>
      <c r="K45" s="25"/>
      <c r="L45" s="79"/>
      <c r="M45" s="25"/>
      <c r="N45" s="80"/>
    </row>
    <row r="46" spans="2:15" ht="15.75" customHeight="1" x14ac:dyDescent="0.25">
      <c r="B46" s="78"/>
      <c r="C46" s="353" t="s">
        <v>435</v>
      </c>
      <c r="D46" s="351"/>
      <c r="E46" s="351"/>
      <c r="F46" s="351"/>
      <c r="G46" s="351"/>
      <c r="H46" s="351"/>
      <c r="I46" s="252"/>
      <c r="J46" s="252"/>
      <c r="K46" s="25"/>
      <c r="L46" s="79"/>
      <c r="M46" s="25"/>
      <c r="N46" s="80"/>
    </row>
    <row r="47" spans="2:15" ht="18" customHeight="1" x14ac:dyDescent="0.25">
      <c r="B47" s="78"/>
      <c r="C47" s="570" t="s">
        <v>429</v>
      </c>
      <c r="D47" s="573"/>
      <c r="E47" s="573"/>
      <c r="F47" s="573"/>
      <c r="G47" s="573"/>
      <c r="H47" s="574"/>
      <c r="I47" s="252"/>
      <c r="J47" s="252"/>
      <c r="K47" s="25"/>
      <c r="L47" s="79"/>
      <c r="M47" s="25"/>
      <c r="N47" s="80"/>
      <c r="O47" s="5"/>
    </row>
    <row r="48" spans="2:15" ht="18" customHeight="1" x14ac:dyDescent="0.25">
      <c r="B48" s="78"/>
      <c r="C48" s="357"/>
      <c r="D48"/>
      <c r="E48"/>
      <c r="F48"/>
      <c r="G48"/>
      <c r="H48" s="355"/>
      <c r="I48" s="252"/>
      <c r="J48" s="252"/>
      <c r="K48" s="25"/>
      <c r="L48" s="79"/>
      <c r="M48" s="25"/>
      <c r="N48" s="80"/>
      <c r="O48" s="5"/>
    </row>
    <row r="49" spans="2:15" ht="18" customHeight="1" x14ac:dyDescent="0.25">
      <c r="B49" s="78"/>
      <c r="C49" s="570" t="s">
        <v>436</v>
      </c>
      <c r="D49" s="571"/>
      <c r="E49" s="571"/>
      <c r="F49" s="571"/>
      <c r="G49" s="571"/>
      <c r="H49" s="571"/>
      <c r="I49" s="572"/>
      <c r="J49" s="252"/>
      <c r="K49" s="25"/>
      <c r="L49" s="79"/>
      <c r="M49" s="25"/>
      <c r="N49" s="80"/>
      <c r="O49" s="5"/>
    </row>
    <row r="50" spans="2:15" x14ac:dyDescent="0.25">
      <c r="B50" s="83"/>
      <c r="C50" s="475"/>
      <c r="D50" s="518"/>
      <c r="E50" s="518"/>
      <c r="F50" s="518"/>
      <c r="G50" s="518"/>
      <c r="H50" s="518"/>
      <c r="I50" s="519"/>
      <c r="J50" s="252"/>
      <c r="K50" s="25"/>
      <c r="L50" s="318" t="s">
        <v>6</v>
      </c>
      <c r="M50" s="319" t="s">
        <v>5</v>
      </c>
      <c r="N50" s="155">
        <f>SUM(N16:N47)</f>
        <v>28800</v>
      </c>
    </row>
    <row r="51" spans="2:15" x14ac:dyDescent="0.25">
      <c r="B51" s="88" t="s">
        <v>4</v>
      </c>
      <c r="C51" s="585" t="s">
        <v>473</v>
      </c>
      <c r="D51" s="586"/>
      <c r="E51" s="586"/>
      <c r="F51" s="586"/>
      <c r="G51" s="586"/>
      <c r="H51" s="586"/>
      <c r="I51" s="586"/>
      <c r="J51" s="586"/>
      <c r="K51" s="586"/>
      <c r="L51" s="586"/>
      <c r="M51" s="586"/>
      <c r="N51" s="587"/>
    </row>
    <row r="52" spans="2:15" x14ac:dyDescent="0.25">
      <c r="B52" s="73"/>
      <c r="C52" s="445"/>
      <c r="D52" s="444"/>
      <c r="E52" s="444"/>
      <c r="F52" s="444"/>
      <c r="G52" s="444"/>
      <c r="H52" s="444"/>
      <c r="I52" s="446"/>
      <c r="J52" s="441" t="s">
        <v>3</v>
      </c>
      <c r="K52" s="442"/>
      <c r="L52" s="442"/>
      <c r="M52" s="442"/>
      <c r="N52" s="443"/>
    </row>
    <row r="53" spans="2:15" ht="46.5" customHeight="1" x14ac:dyDescent="0.25">
      <c r="B53" s="78" t="s">
        <v>2</v>
      </c>
      <c r="C53" s="507"/>
      <c r="D53" s="508"/>
      <c r="E53" s="508"/>
      <c r="F53" s="508"/>
      <c r="G53" s="508"/>
      <c r="H53" s="508"/>
      <c r="I53" s="509"/>
      <c r="J53" s="445"/>
      <c r="K53" s="444"/>
      <c r="L53" s="444"/>
      <c r="M53" s="444"/>
      <c r="N53" s="446"/>
    </row>
    <row r="54" spans="2:15" x14ac:dyDescent="0.25">
      <c r="B54" s="78" t="s">
        <v>1</v>
      </c>
      <c r="C54" s="513" t="s">
        <v>216</v>
      </c>
      <c r="D54" s="440"/>
      <c r="E54" s="440"/>
      <c r="F54" s="440"/>
      <c r="G54" s="440"/>
      <c r="H54" s="440"/>
      <c r="I54" s="514"/>
      <c r="J54" s="441" t="s">
        <v>340</v>
      </c>
      <c r="K54" s="442"/>
      <c r="L54" s="442"/>
      <c r="M54" s="442"/>
      <c r="N54" s="443"/>
    </row>
    <row r="55" spans="2:15" x14ac:dyDescent="0.25">
      <c r="B55" s="83" t="s">
        <v>0</v>
      </c>
      <c r="C55" s="507" t="s">
        <v>217</v>
      </c>
      <c r="D55" s="508"/>
      <c r="E55" s="508"/>
      <c r="F55" s="508"/>
      <c r="G55" s="508"/>
      <c r="H55" s="508"/>
      <c r="I55" s="509"/>
      <c r="J55" s="445" t="s">
        <v>32</v>
      </c>
      <c r="K55" s="444"/>
      <c r="L55" s="444"/>
      <c r="M55" s="444"/>
      <c r="N55" s="446"/>
    </row>
  </sheetData>
  <mergeCells count="44">
    <mergeCell ref="C16:G16"/>
    <mergeCell ref="B1:N1"/>
    <mergeCell ref="B2:N2"/>
    <mergeCell ref="B3:N3"/>
    <mergeCell ref="C7:I7"/>
    <mergeCell ref="M7:N7"/>
    <mergeCell ref="C9:I10"/>
    <mergeCell ref="C11:G11"/>
    <mergeCell ref="C12:G12"/>
    <mergeCell ref="C13:I13"/>
    <mergeCell ref="C14:I14"/>
    <mergeCell ref="C15:G15"/>
    <mergeCell ref="C32:I32"/>
    <mergeCell ref="G17:H17"/>
    <mergeCell ref="C18:C20"/>
    <mergeCell ref="G18:H18"/>
    <mergeCell ref="G19:H19"/>
    <mergeCell ref="G20:H20"/>
    <mergeCell ref="C21:I21"/>
    <mergeCell ref="C23:I23"/>
    <mergeCell ref="C28:I28"/>
    <mergeCell ref="C29:I29"/>
    <mergeCell ref="C31:I31"/>
    <mergeCell ref="C50:I50"/>
    <mergeCell ref="C33:I33"/>
    <mergeCell ref="C34:I34"/>
    <mergeCell ref="C35:I36"/>
    <mergeCell ref="C37:I37"/>
    <mergeCell ref="C38:I38"/>
    <mergeCell ref="C39:G39"/>
    <mergeCell ref="C40:G40"/>
    <mergeCell ref="C41:G41"/>
    <mergeCell ref="C44:I44"/>
    <mergeCell ref="C47:H47"/>
    <mergeCell ref="C49:I49"/>
    <mergeCell ref="C55:I55"/>
    <mergeCell ref="J55:N55"/>
    <mergeCell ref="C51:N51"/>
    <mergeCell ref="C52:I52"/>
    <mergeCell ref="J52:N52"/>
    <mergeCell ref="C53:I53"/>
    <mergeCell ref="J53:N53"/>
    <mergeCell ref="C54:I54"/>
    <mergeCell ref="J54:N54"/>
  </mergeCells>
  <printOptions horizontalCentered="1"/>
  <pageMargins left="0.25" right="0.25" top="0.75" bottom="0.75" header="0.3" footer="0.3"/>
  <pageSetup paperSize="9" scale="5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9129-E720-46FE-AB9E-F1718F2D6A38}">
  <sheetPr>
    <tabColor theme="9"/>
    <pageSetUpPr fitToPage="1"/>
  </sheetPr>
  <dimension ref="B1:L35"/>
  <sheetViews>
    <sheetView view="pageBreakPreview" topLeftCell="A11" zoomScale="85" zoomScaleNormal="100" zoomScaleSheetLayoutView="85" workbookViewId="0">
      <selection activeCell="C16" sqref="C16:E17"/>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6.6" customHeight="1" x14ac:dyDescent="0.4">
      <c r="B3" s="424" t="s">
        <v>470</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526</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6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463" t="s">
        <v>523</v>
      </c>
      <c r="D11" s="464"/>
      <c r="E11" s="464"/>
      <c r="F11" s="464"/>
      <c r="G11" s="465"/>
      <c r="H11" s="103"/>
      <c r="I11" s="11"/>
      <c r="J11" s="52"/>
      <c r="L11" s="53"/>
    </row>
    <row r="12" spans="2:12" ht="28.15" customHeight="1" x14ac:dyDescent="0.25">
      <c r="B12" s="100"/>
      <c r="C12" s="466"/>
      <c r="D12" s="467"/>
      <c r="E12" s="467"/>
      <c r="F12" s="467"/>
      <c r="G12" s="468"/>
      <c r="H12" s="103"/>
      <c r="I12" s="11"/>
      <c r="J12" s="52"/>
      <c r="L12" s="53"/>
    </row>
    <row r="13" spans="2:12" x14ac:dyDescent="0.25">
      <c r="B13" s="100"/>
      <c r="C13" s="60" t="s">
        <v>21</v>
      </c>
      <c r="D13" s="469" t="s">
        <v>41</v>
      </c>
      <c r="E13" s="469"/>
      <c r="F13" s="469" t="s">
        <v>42</v>
      </c>
      <c r="G13" s="469"/>
      <c r="H13" s="129"/>
      <c r="I13" s="11"/>
      <c r="J13" s="52"/>
      <c r="K13" s="59"/>
      <c r="L13" s="53"/>
    </row>
    <row r="14" spans="2:12" x14ac:dyDescent="0.25">
      <c r="B14" s="100"/>
      <c r="C14" s="244">
        <v>100</v>
      </c>
      <c r="D14" s="581" t="s">
        <v>524</v>
      </c>
      <c r="E14" s="582"/>
      <c r="F14" s="607">
        <v>45621</v>
      </c>
      <c r="G14" s="584"/>
      <c r="H14" s="154">
        <v>100</v>
      </c>
      <c r="I14" s="377" t="s">
        <v>43</v>
      </c>
      <c r="J14" s="378">
        <v>50</v>
      </c>
      <c r="K14" s="379"/>
      <c r="L14" s="380">
        <f>H14*J14</f>
        <v>5000</v>
      </c>
    </row>
    <row r="15" spans="2:12" x14ac:dyDescent="0.25">
      <c r="B15" s="100"/>
      <c r="C15" s="147" t="s">
        <v>40</v>
      </c>
      <c r="D15" s="148"/>
      <c r="E15" s="148"/>
      <c r="F15" s="133"/>
      <c r="G15" s="134"/>
      <c r="H15" s="135"/>
      <c r="I15" s="78"/>
      <c r="J15" s="113"/>
      <c r="K15" s="89"/>
      <c r="L15" s="119"/>
    </row>
    <row r="16" spans="2:12" x14ac:dyDescent="0.25">
      <c r="B16" s="100"/>
      <c r="C16" s="483" t="s">
        <v>525</v>
      </c>
      <c r="D16" s="484"/>
      <c r="E16" s="484"/>
      <c r="F16" s="221"/>
      <c r="G16" s="135"/>
      <c r="H16" s="135"/>
      <c r="I16" s="78"/>
      <c r="J16" s="113"/>
      <c r="K16" s="89"/>
      <c r="L16" s="119"/>
    </row>
    <row r="17" spans="2:12" x14ac:dyDescent="0.25">
      <c r="B17" s="100"/>
      <c r="C17" s="483"/>
      <c r="D17" s="484"/>
      <c r="E17" s="484"/>
      <c r="F17" s="221"/>
      <c r="G17" s="135"/>
      <c r="H17" s="135"/>
      <c r="I17" s="78"/>
      <c r="J17" s="113"/>
      <c r="K17" s="89"/>
      <c r="L17" s="119"/>
    </row>
    <row r="18" spans="2:12" x14ac:dyDescent="0.25">
      <c r="B18" s="100"/>
      <c r="C18" s="106"/>
      <c r="D18" s="218"/>
      <c r="E18" s="218"/>
      <c r="F18" s="221"/>
      <c r="G18" s="135"/>
      <c r="H18" s="135"/>
      <c r="I18" s="78"/>
      <c r="J18" s="113"/>
      <c r="K18" s="89"/>
      <c r="L18" s="119"/>
    </row>
    <row r="19" spans="2:12" x14ac:dyDescent="0.25">
      <c r="B19" s="100"/>
      <c r="C19" s="96" t="s">
        <v>33</v>
      </c>
      <c r="D19" s="107"/>
      <c r="E19" s="107"/>
      <c r="F19" s="108"/>
      <c r="G19" s="112"/>
      <c r="H19" s="61"/>
      <c r="I19" s="62"/>
      <c r="J19" s="63"/>
      <c r="K19" s="59"/>
      <c r="L19" s="53"/>
    </row>
    <row r="20" spans="2:12" x14ac:dyDescent="0.25">
      <c r="B20" s="100"/>
      <c r="C20" s="95" t="s">
        <v>34</v>
      </c>
      <c r="D20" s="107"/>
      <c r="E20" s="107"/>
      <c r="F20" s="108"/>
      <c r="G20" s="112"/>
      <c r="H20" s="61"/>
      <c r="I20" s="62"/>
      <c r="J20" s="63"/>
      <c r="K20" s="59"/>
      <c r="L20" s="53"/>
    </row>
    <row r="21" spans="2:12"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SUM(L14:L14)</f>
        <v>5000</v>
      </c>
    </row>
    <row r="30" spans="2:12" ht="36.6" customHeight="1" x14ac:dyDescent="0.25">
      <c r="B30" s="88" t="s">
        <v>4</v>
      </c>
      <c r="C30" s="534" t="s">
        <v>523</v>
      </c>
      <c r="D30" s="535"/>
      <c r="E30" s="535"/>
      <c r="F30" s="535"/>
      <c r="G30" s="535"/>
      <c r="H30" s="535"/>
      <c r="I30" s="535"/>
      <c r="J30" s="535"/>
      <c r="K30" s="535"/>
      <c r="L30" s="536"/>
    </row>
    <row r="31" spans="2:12" x14ac:dyDescent="0.25">
      <c r="B31" s="73"/>
      <c r="C31" s="445"/>
      <c r="D31" s="444"/>
      <c r="E31" s="444"/>
      <c r="F31" s="444"/>
      <c r="G31" s="444"/>
      <c r="H31" s="441" t="s">
        <v>3</v>
      </c>
      <c r="I31" s="442"/>
      <c r="J31" s="442"/>
      <c r="K31" s="442"/>
      <c r="L31" s="443"/>
    </row>
    <row r="32" spans="2:12" x14ac:dyDescent="0.25">
      <c r="B32" s="25"/>
      <c r="C32" s="450"/>
      <c r="D32" s="480"/>
      <c r="E32" s="480"/>
      <c r="F32" s="480"/>
      <c r="G32" s="451"/>
      <c r="H32" s="454"/>
      <c r="I32" s="455"/>
      <c r="J32" s="455"/>
      <c r="K32" s="455"/>
      <c r="L32" s="456"/>
    </row>
    <row r="33" spans="2:12" x14ac:dyDescent="0.25">
      <c r="B33" s="78" t="s">
        <v>2</v>
      </c>
      <c r="C33" s="452"/>
      <c r="D33" s="481"/>
      <c r="E33" s="481"/>
      <c r="F33" s="481"/>
      <c r="G33" s="453"/>
      <c r="H33" s="457"/>
      <c r="I33" s="458"/>
      <c r="J33" s="458"/>
      <c r="K33" s="458"/>
      <c r="L33" s="459"/>
    </row>
    <row r="34" spans="2:12" x14ac:dyDescent="0.25">
      <c r="B34" s="78" t="s">
        <v>1</v>
      </c>
      <c r="C34" s="440" t="s">
        <v>216</v>
      </c>
      <c r="D34" s="440"/>
      <c r="E34" s="440"/>
      <c r="F34" s="440"/>
      <c r="G34" s="440"/>
      <c r="H34" s="441" t="s">
        <v>521</v>
      </c>
      <c r="I34" s="442"/>
      <c r="J34" s="442"/>
      <c r="K34" s="442"/>
      <c r="L34" s="443"/>
    </row>
    <row r="35" spans="2:12" x14ac:dyDescent="0.25">
      <c r="B35" s="83" t="s">
        <v>0</v>
      </c>
      <c r="C35" s="444" t="s">
        <v>271</v>
      </c>
      <c r="D35" s="444"/>
      <c r="E35" s="444"/>
      <c r="F35" s="444"/>
      <c r="G35" s="444"/>
      <c r="H35" s="445" t="s">
        <v>522</v>
      </c>
      <c r="I35" s="444"/>
      <c r="J35" s="444"/>
      <c r="K35" s="444"/>
      <c r="L35" s="446"/>
    </row>
  </sheetData>
  <mergeCells count="22">
    <mergeCell ref="C35:G35"/>
    <mergeCell ref="H35:L35"/>
    <mergeCell ref="C31:G31"/>
    <mergeCell ref="H31:L31"/>
    <mergeCell ref="B3:L3"/>
    <mergeCell ref="B4:L4"/>
    <mergeCell ref="C16:E17"/>
    <mergeCell ref="C30:L30"/>
    <mergeCell ref="C11:G12"/>
    <mergeCell ref="D13:E13"/>
    <mergeCell ref="F13:G13"/>
    <mergeCell ref="D14:E14"/>
    <mergeCell ref="B1:L1"/>
    <mergeCell ref="C32:G33"/>
    <mergeCell ref="H32:L33"/>
    <mergeCell ref="C34:G34"/>
    <mergeCell ref="H34:L34"/>
    <mergeCell ref="F14:G14"/>
    <mergeCell ref="B2:L2"/>
    <mergeCell ref="C6:H6"/>
    <mergeCell ref="C8:G8"/>
    <mergeCell ref="K8:L8"/>
  </mergeCells>
  <pageMargins left="0.23622047244094491" right="0.23622047244094491" top="1.1417322834645669" bottom="0.74803149606299213" header="0.31496062992125984" footer="0.31496062992125984"/>
  <pageSetup paperSize="9" scale="6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13D1-9FA8-448C-8583-2CCFD44090AA}">
  <sheetPr>
    <tabColor theme="9"/>
    <pageSetUpPr fitToPage="1"/>
  </sheetPr>
  <dimension ref="A1:M34"/>
  <sheetViews>
    <sheetView view="pageBreakPreview" topLeftCell="A4" zoomScale="85" zoomScaleNormal="100" zoomScaleSheetLayoutView="85" workbookViewId="0">
      <selection activeCell="C28" sqref="C28:L28"/>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A1" s="53"/>
      <c r="B1" s="608" t="s">
        <v>28</v>
      </c>
      <c r="C1" s="608"/>
      <c r="D1" s="608"/>
      <c r="E1" s="608"/>
      <c r="F1" s="608"/>
      <c r="G1" s="608"/>
      <c r="H1" s="608"/>
      <c r="I1" s="608"/>
      <c r="J1" s="608"/>
      <c r="K1" s="608"/>
      <c r="L1" s="608"/>
    </row>
    <row r="2" spans="1:13" ht="18" x14ac:dyDescent="0.25">
      <c r="A2" s="609" t="s">
        <v>27</v>
      </c>
      <c r="B2" s="609"/>
      <c r="C2" s="609"/>
      <c r="D2" s="609"/>
      <c r="E2" s="609"/>
      <c r="F2" s="609"/>
      <c r="G2" s="609"/>
      <c r="H2" s="609"/>
      <c r="I2" s="609"/>
      <c r="J2" s="609"/>
      <c r="K2" s="609"/>
      <c r="L2" s="609"/>
      <c r="M2" s="610"/>
    </row>
    <row r="3" spans="1:13" ht="94.9" customHeight="1" x14ac:dyDescent="0.25">
      <c r="A3" s="611" t="s">
        <v>451</v>
      </c>
      <c r="B3" s="546"/>
      <c r="C3" s="546"/>
      <c r="D3" s="546"/>
      <c r="E3" s="546"/>
      <c r="F3" s="546"/>
      <c r="G3" s="546"/>
      <c r="H3" s="546"/>
      <c r="I3" s="546"/>
      <c r="J3" s="546"/>
      <c r="K3" s="546"/>
      <c r="L3" s="546"/>
      <c r="M3" s="546"/>
    </row>
    <row r="4" spans="1:13" ht="34.15" customHeight="1" x14ac:dyDescent="0.25">
      <c r="B4" s="100"/>
      <c r="I4" s="24" t="s">
        <v>398</v>
      </c>
      <c r="J4" s="169"/>
      <c r="L4" s="42" t="s">
        <v>465</v>
      </c>
    </row>
    <row r="5" spans="1:13" ht="21" customHeight="1" x14ac:dyDescent="0.25">
      <c r="B5" s="25" t="s">
        <v>26</v>
      </c>
      <c r="C5" s="427" t="s">
        <v>30</v>
      </c>
      <c r="D5" s="427"/>
      <c r="E5" s="427"/>
      <c r="F5" s="427"/>
      <c r="G5" s="427"/>
      <c r="H5" s="427"/>
      <c r="I5" s="24" t="s">
        <v>25</v>
      </c>
      <c r="L5" s="42" t="s">
        <v>22</v>
      </c>
    </row>
    <row r="6" spans="1:13" ht="18.600000000000001" customHeight="1" x14ac:dyDescent="0.25">
      <c r="B6" s="22" t="s">
        <v>24</v>
      </c>
      <c r="C6" s="72" t="s">
        <v>47</v>
      </c>
      <c r="D6" s="71"/>
      <c r="E6" s="71"/>
      <c r="F6" s="71"/>
      <c r="G6" s="71"/>
      <c r="H6" s="71"/>
      <c r="I6" s="20" t="s">
        <v>23</v>
      </c>
      <c r="J6" s="43"/>
      <c r="K6" s="13"/>
      <c r="L6" s="44" t="s">
        <v>22</v>
      </c>
    </row>
    <row r="7" spans="1:13" ht="31.5" customHeight="1" x14ac:dyDescent="0.25">
      <c r="B7" s="142" t="s">
        <v>29</v>
      </c>
      <c r="C7" s="428" t="s">
        <v>19</v>
      </c>
      <c r="D7" s="462"/>
      <c r="E7" s="462"/>
      <c r="F7" s="462"/>
      <c r="G7" s="429"/>
      <c r="H7" s="143" t="s">
        <v>21</v>
      </c>
      <c r="I7" s="33" t="s">
        <v>20</v>
      </c>
      <c r="J7" s="47" t="s">
        <v>18</v>
      </c>
      <c r="K7" s="430" t="s">
        <v>17</v>
      </c>
      <c r="L7" s="431"/>
    </row>
    <row r="8" spans="1:13" ht="21.75" customHeight="1" x14ac:dyDescent="0.25">
      <c r="B8" s="31"/>
      <c r="C8" s="48"/>
      <c r="D8" s="49"/>
      <c r="E8" s="49"/>
      <c r="F8" s="49"/>
      <c r="G8" s="130"/>
      <c r="H8" s="130"/>
      <c r="I8" s="12"/>
      <c r="J8" s="50"/>
      <c r="K8" s="27"/>
      <c r="L8" s="51"/>
    </row>
    <row r="9" spans="1:13" ht="20.25" customHeight="1" x14ac:dyDescent="0.25">
      <c r="B9" s="100"/>
      <c r="C9" s="106"/>
      <c r="D9" s="102"/>
      <c r="E9" s="102"/>
      <c r="F9" s="102"/>
      <c r="G9" s="103"/>
      <c r="H9" s="103"/>
      <c r="I9" s="11"/>
      <c r="J9" s="52"/>
      <c r="L9" s="53"/>
    </row>
    <row r="10" spans="1:13" x14ac:dyDescent="0.25">
      <c r="B10" s="100"/>
      <c r="C10" s="539" t="s">
        <v>466</v>
      </c>
      <c r="D10" s="540"/>
      <c r="E10" s="540"/>
      <c r="F10" s="540"/>
      <c r="G10" s="541"/>
      <c r="H10" s="103"/>
      <c r="I10" s="11"/>
      <c r="J10" s="52"/>
      <c r="L10" s="53"/>
    </row>
    <row r="11" spans="1:13" x14ac:dyDescent="0.25">
      <c r="B11" s="100"/>
      <c r="C11" s="542"/>
      <c r="D11" s="543"/>
      <c r="E11" s="543"/>
      <c r="F11" s="543"/>
      <c r="G11" s="544"/>
      <c r="H11" s="103"/>
      <c r="I11" s="11"/>
      <c r="J11" s="52"/>
      <c r="L11" s="53"/>
    </row>
    <row r="12" spans="1:13" x14ac:dyDescent="0.25">
      <c r="B12" s="100"/>
      <c r="C12" s="60" t="s">
        <v>21</v>
      </c>
      <c r="D12" s="469" t="s">
        <v>41</v>
      </c>
      <c r="E12" s="469"/>
      <c r="F12" s="469" t="s">
        <v>468</v>
      </c>
      <c r="G12" s="469"/>
      <c r="H12" s="129"/>
      <c r="I12" s="11"/>
      <c r="J12" s="52"/>
      <c r="K12" s="59"/>
      <c r="L12" s="53"/>
    </row>
    <row r="13" spans="1:13" ht="34.15" customHeight="1" x14ac:dyDescent="0.25">
      <c r="B13" s="100"/>
      <c r="C13" s="70">
        <v>1</v>
      </c>
      <c r="D13" s="470" t="s">
        <v>467</v>
      </c>
      <c r="E13" s="471"/>
      <c r="F13" s="537" t="s">
        <v>469</v>
      </c>
      <c r="G13" s="538"/>
      <c r="H13" s="129">
        <v>1</v>
      </c>
      <c r="I13" s="277" t="s">
        <v>300</v>
      </c>
      <c r="J13" s="375">
        <v>2526</v>
      </c>
      <c r="K13" s="89"/>
      <c r="L13" s="376">
        <f>H13*J13</f>
        <v>2526</v>
      </c>
    </row>
    <row r="14" spans="1:13" x14ac:dyDescent="0.25">
      <c r="B14" s="100"/>
      <c r="C14" s="147"/>
      <c r="D14" s="148"/>
      <c r="E14" s="148"/>
      <c r="F14" s="133"/>
      <c r="G14" s="134"/>
      <c r="H14" s="135"/>
      <c r="I14" s="78"/>
      <c r="J14" s="113"/>
      <c r="K14" s="89"/>
      <c r="L14" s="119"/>
    </row>
    <row r="15" spans="1:13" x14ac:dyDescent="0.25">
      <c r="B15" s="100"/>
      <c r="C15" s="106"/>
      <c r="D15" s="218"/>
      <c r="E15" s="218"/>
      <c r="F15" s="221"/>
      <c r="G15" s="135"/>
      <c r="H15" s="135"/>
      <c r="I15" s="78"/>
      <c r="J15" s="113"/>
      <c r="K15" s="89"/>
      <c r="L15" s="119"/>
    </row>
    <row r="16" spans="1:13" x14ac:dyDescent="0.25">
      <c r="B16" s="100"/>
      <c r="C16" s="149"/>
      <c r="D16" s="144"/>
      <c r="E16" s="144"/>
      <c r="F16" s="145"/>
      <c r="G16" s="146"/>
      <c r="H16" s="135"/>
      <c r="I16" s="78"/>
      <c r="J16" s="113"/>
      <c r="K16" s="89"/>
      <c r="L16" s="119"/>
    </row>
    <row r="17" spans="2:12" x14ac:dyDescent="0.25">
      <c r="B17" s="100"/>
      <c r="C17" s="106"/>
      <c r="D17" s="107"/>
      <c r="E17" s="107"/>
      <c r="F17" s="108"/>
      <c r="G17" s="112"/>
      <c r="H17" s="61"/>
      <c r="I17" s="62"/>
      <c r="J17" s="63"/>
      <c r="K17" s="59"/>
      <c r="L17" s="53"/>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ht="33" customHeight="1"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56" t="s">
        <v>8</v>
      </c>
      <c r="D25" s="104"/>
      <c r="E25" s="104"/>
      <c r="F25" s="104"/>
      <c r="G25" s="105"/>
      <c r="H25" s="57"/>
      <c r="I25" s="11"/>
      <c r="J25" s="113"/>
      <c r="K25" s="24"/>
      <c r="L25" s="53"/>
    </row>
    <row r="26" spans="2:12" ht="15.75" customHeight="1" x14ac:dyDescent="0.25">
      <c r="B26" s="100"/>
      <c r="C26" s="54" t="s">
        <v>7</v>
      </c>
      <c r="D26" s="102"/>
      <c r="E26" s="102"/>
      <c r="F26" s="102"/>
      <c r="G26" s="103"/>
      <c r="H26" s="55"/>
      <c r="I26" s="11"/>
      <c r="J26" s="113"/>
      <c r="K26" s="24"/>
      <c r="L26" s="53"/>
    </row>
    <row r="27" spans="2:12" x14ac:dyDescent="0.25">
      <c r="B27" s="101"/>
      <c r="C27" s="66"/>
      <c r="D27" s="67"/>
      <c r="E27" s="67"/>
      <c r="F27" s="67"/>
      <c r="G27" s="111"/>
      <c r="H27" s="68"/>
      <c r="I27" s="10"/>
      <c r="J27" s="114" t="s">
        <v>6</v>
      </c>
      <c r="K27" s="72" t="s">
        <v>5</v>
      </c>
      <c r="L27" s="69">
        <f>SUM(L8:L26)</f>
        <v>2526</v>
      </c>
    </row>
    <row r="28" spans="2:12" ht="16.5" x14ac:dyDescent="0.25">
      <c r="B28" s="88" t="s">
        <v>4</v>
      </c>
      <c r="C28" s="534" t="s">
        <v>466</v>
      </c>
      <c r="D28" s="535"/>
      <c r="E28" s="535"/>
      <c r="F28" s="535"/>
      <c r="G28" s="535"/>
      <c r="H28" s="535"/>
      <c r="I28" s="535"/>
      <c r="J28" s="535"/>
      <c r="K28" s="535"/>
      <c r="L28" s="536"/>
    </row>
    <row r="29" spans="2:12" x14ac:dyDescent="0.25">
      <c r="B29" s="136"/>
      <c r="C29" s="137"/>
      <c r="D29" s="138"/>
      <c r="E29" s="138"/>
      <c r="F29" s="138"/>
      <c r="G29" s="138"/>
      <c r="H29" s="138"/>
      <c r="I29" s="138"/>
      <c r="J29" s="138"/>
      <c r="K29" s="138"/>
      <c r="L29" s="141"/>
    </row>
    <row r="30" spans="2:12" x14ac:dyDescent="0.25">
      <c r="B30" s="73"/>
      <c r="C30" s="445"/>
      <c r="D30" s="444"/>
      <c r="E30" s="444"/>
      <c r="F30" s="444"/>
      <c r="G30" s="444"/>
      <c r="H30" s="441" t="s">
        <v>3</v>
      </c>
      <c r="I30" s="442"/>
      <c r="J30" s="442"/>
      <c r="K30" s="442"/>
      <c r="L30" s="443"/>
    </row>
    <row r="31" spans="2:12" x14ac:dyDescent="0.25">
      <c r="B31" s="25"/>
      <c r="C31" s="450"/>
      <c r="D31" s="480"/>
      <c r="E31" s="480"/>
      <c r="F31" s="480"/>
      <c r="G31" s="451"/>
      <c r="H31" s="454"/>
      <c r="I31" s="455"/>
      <c r="J31" s="455"/>
      <c r="K31" s="455"/>
      <c r="L31" s="456"/>
    </row>
    <row r="32" spans="2:12" x14ac:dyDescent="0.25">
      <c r="B32" s="78" t="s">
        <v>2</v>
      </c>
      <c r="C32" s="452"/>
      <c r="D32" s="481"/>
      <c r="E32" s="481"/>
      <c r="F32" s="481"/>
      <c r="G32" s="453"/>
      <c r="H32" s="457"/>
      <c r="I32" s="458"/>
      <c r="J32" s="458"/>
      <c r="K32" s="458"/>
      <c r="L32" s="459"/>
    </row>
    <row r="33" spans="2:12" x14ac:dyDescent="0.25">
      <c r="B33" s="78" t="s">
        <v>1</v>
      </c>
      <c r="C33" s="440" t="s">
        <v>216</v>
      </c>
      <c r="D33" s="440"/>
      <c r="E33" s="440"/>
      <c r="F33" s="440"/>
      <c r="G33" s="440"/>
      <c r="H33" s="441" t="s">
        <v>340</v>
      </c>
      <c r="I33" s="442"/>
      <c r="J33" s="442"/>
      <c r="K33" s="442"/>
      <c r="L33" s="443"/>
    </row>
    <row r="34" spans="2:12" x14ac:dyDescent="0.25">
      <c r="B34" s="83" t="s">
        <v>0</v>
      </c>
      <c r="C34" s="444" t="s">
        <v>227</v>
      </c>
      <c r="D34" s="444"/>
      <c r="E34" s="444"/>
      <c r="F34" s="444"/>
      <c r="G34" s="444"/>
      <c r="H34" s="445" t="s">
        <v>32</v>
      </c>
      <c r="I34" s="444"/>
      <c r="J34" s="444"/>
      <c r="K34" s="444"/>
      <c r="L34" s="446"/>
    </row>
  </sheetData>
  <mergeCells count="20">
    <mergeCell ref="B1:L1"/>
    <mergeCell ref="A2:M2"/>
    <mergeCell ref="A3:M3"/>
    <mergeCell ref="C30:G30"/>
    <mergeCell ref="H30:L30"/>
    <mergeCell ref="C5:H5"/>
    <mergeCell ref="C7:G7"/>
    <mergeCell ref="K7:L7"/>
    <mergeCell ref="C10:G11"/>
    <mergeCell ref="D12:E12"/>
    <mergeCell ref="F12:G12"/>
    <mergeCell ref="D13:E13"/>
    <mergeCell ref="F13:G13"/>
    <mergeCell ref="C28:L28"/>
    <mergeCell ref="C31:G32"/>
    <mergeCell ref="H31:L32"/>
    <mergeCell ref="C33:G33"/>
    <mergeCell ref="H33:L33"/>
    <mergeCell ref="C34:G34"/>
    <mergeCell ref="H34:L34"/>
  </mergeCells>
  <pageMargins left="0.23622047244094491" right="0.23622047244094491" top="1.1417322834645669" bottom="0.74803149606299213" header="0.31496062992125984" footer="0.31496062992125984"/>
  <pageSetup paperSize="9" scale="73"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B1:L45"/>
  <sheetViews>
    <sheetView view="pageBreakPreview" zoomScaleNormal="100" zoomScaleSheetLayoutView="100" workbookViewId="0">
      <selection activeCell="F15" sqref="F1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105</v>
      </c>
      <c r="J5" s="39" t="s">
        <v>142</v>
      </c>
      <c r="K5" s="27"/>
      <c r="L5" s="40" t="s">
        <v>171</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172</v>
      </c>
      <c r="D11" s="540"/>
      <c r="E11" s="540"/>
      <c r="F11" s="540"/>
      <c r="G11" s="541"/>
      <c r="H11" s="103"/>
      <c r="I11" s="11"/>
      <c r="J11" s="52"/>
      <c r="L11" s="53"/>
    </row>
    <row r="12" spans="2:12" ht="13.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25">
      <c r="B14" s="100"/>
      <c r="C14" s="244">
        <v>1</v>
      </c>
      <c r="D14" s="581" t="s">
        <v>122</v>
      </c>
      <c r="E14" s="582"/>
      <c r="F14" s="612" t="s">
        <v>177</v>
      </c>
      <c r="G14" s="584"/>
      <c r="H14" s="154">
        <v>1</v>
      </c>
      <c r="I14" s="11" t="s">
        <v>43</v>
      </c>
      <c r="J14" s="52">
        <v>900</v>
      </c>
      <c r="K14" s="59"/>
      <c r="L14" s="226">
        <f>H14*J14</f>
        <v>900</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106" t="s">
        <v>123</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x14ac:dyDescent="0.25">
      <c r="B18" s="100"/>
      <c r="C18" s="106"/>
      <c r="D18" s="107"/>
      <c r="E18" s="107"/>
      <c r="F18" s="108"/>
      <c r="G18" s="112"/>
      <c r="H18" s="61"/>
      <c r="I18" s="62"/>
      <c r="J18" s="63"/>
      <c r="K18" s="59"/>
      <c r="L18" s="53"/>
    </row>
    <row r="19" spans="2:12" x14ac:dyDescent="0.25">
      <c r="B19" s="100"/>
      <c r="C19" s="539" t="s">
        <v>173</v>
      </c>
      <c r="D19" s="540"/>
      <c r="E19" s="540"/>
      <c r="F19" s="540"/>
      <c r="G19" s="541"/>
      <c r="H19" s="103"/>
      <c r="I19" s="11"/>
      <c r="J19" s="52"/>
      <c r="L19" s="53"/>
    </row>
    <row r="20" spans="2:12" ht="28.5" customHeight="1" x14ac:dyDescent="0.25">
      <c r="B20" s="100"/>
      <c r="C20" s="542"/>
      <c r="D20" s="543"/>
      <c r="E20" s="543"/>
      <c r="F20" s="543"/>
      <c r="G20" s="544"/>
      <c r="H20" s="103"/>
      <c r="I20" s="11"/>
      <c r="J20" s="52"/>
      <c r="L20" s="53"/>
    </row>
    <row r="21" spans="2:12" x14ac:dyDescent="0.25">
      <c r="B21" s="100"/>
      <c r="C21" s="60" t="s">
        <v>21</v>
      </c>
      <c r="D21" s="469" t="s">
        <v>41</v>
      </c>
      <c r="E21" s="469"/>
      <c r="F21" s="469" t="s">
        <v>42</v>
      </c>
      <c r="G21" s="469"/>
      <c r="H21" s="129"/>
      <c r="I21" s="11"/>
      <c r="J21" s="52"/>
      <c r="K21" s="59"/>
      <c r="L21" s="53"/>
    </row>
    <row r="22" spans="2:12" x14ac:dyDescent="0.25">
      <c r="B22" s="100"/>
      <c r="C22" s="244">
        <v>1</v>
      </c>
      <c r="D22" s="581" t="s">
        <v>124</v>
      </c>
      <c r="E22" s="582"/>
      <c r="F22" s="613" t="s">
        <v>174</v>
      </c>
      <c r="G22" s="614"/>
      <c r="H22" s="154">
        <v>1</v>
      </c>
      <c r="I22" s="11" t="s">
        <v>43</v>
      </c>
      <c r="J22" s="52">
        <v>400</v>
      </c>
      <c r="K22" s="59"/>
      <c r="L22" s="226">
        <f>H22*J22</f>
        <v>400</v>
      </c>
    </row>
    <row r="23" spans="2:12" x14ac:dyDescent="0.25">
      <c r="B23" s="100"/>
      <c r="C23" s="106"/>
      <c r="D23" s="107"/>
      <c r="E23" s="107"/>
      <c r="F23" s="108"/>
      <c r="G23" s="112"/>
      <c r="H23" s="61"/>
      <c r="I23" s="62"/>
      <c r="J23" s="63"/>
      <c r="K23" s="59"/>
      <c r="L23" s="53"/>
    </row>
    <row r="24" spans="2:12" x14ac:dyDescent="0.25">
      <c r="B24" s="100"/>
      <c r="C24" s="56" t="s">
        <v>40</v>
      </c>
      <c r="D24" s="107"/>
      <c r="E24" s="107"/>
      <c r="F24" s="108"/>
      <c r="G24" s="112"/>
      <c r="H24" s="61"/>
      <c r="I24" s="62"/>
      <c r="J24" s="63"/>
      <c r="K24" s="59"/>
      <c r="L24" s="53"/>
    </row>
    <row r="25" spans="2:12" x14ac:dyDescent="0.25">
      <c r="B25" s="100"/>
      <c r="C25" s="58" t="s">
        <v>175</v>
      </c>
      <c r="D25" s="107"/>
      <c r="E25" s="107"/>
      <c r="F25" s="108"/>
      <c r="G25" s="112"/>
      <c r="H25" s="61"/>
      <c r="I25" s="62"/>
      <c r="J25" s="63"/>
      <c r="K25" s="59"/>
      <c r="L25" s="53"/>
    </row>
    <row r="26" spans="2:12" x14ac:dyDescent="0.25">
      <c r="B26" s="100"/>
      <c r="C26" s="106"/>
      <c r="D26" s="107"/>
      <c r="E26" s="107"/>
      <c r="F26" s="108"/>
      <c r="G26" s="112"/>
      <c r="H26" s="61"/>
      <c r="I26" s="62"/>
      <c r="J26" s="63"/>
      <c r="K26" s="59"/>
      <c r="L26" s="53"/>
    </row>
    <row r="27" spans="2:12" x14ac:dyDescent="0.25">
      <c r="B27" s="100"/>
      <c r="C27" s="96" t="s">
        <v>33</v>
      </c>
      <c r="D27" s="107"/>
      <c r="E27" s="107"/>
      <c r="F27" s="108"/>
      <c r="G27" s="112"/>
      <c r="H27" s="61"/>
      <c r="I27" s="62"/>
      <c r="J27" s="63"/>
      <c r="K27" s="59"/>
      <c r="L27" s="53"/>
    </row>
    <row r="28" spans="2:12" x14ac:dyDescent="0.25">
      <c r="B28" s="100"/>
      <c r="C28" s="95" t="s">
        <v>34</v>
      </c>
      <c r="D28" s="107"/>
      <c r="E28" s="107"/>
      <c r="F28" s="108"/>
      <c r="G28" s="112"/>
      <c r="H28" s="61"/>
      <c r="I28" s="62"/>
      <c r="J28" s="63"/>
      <c r="K28" s="59"/>
      <c r="L28" s="53"/>
    </row>
    <row r="29" spans="2:12" x14ac:dyDescent="0.25">
      <c r="B29" s="100"/>
      <c r="C29" s="95" t="s">
        <v>35</v>
      </c>
      <c r="D29" s="107"/>
      <c r="E29" s="107"/>
      <c r="F29" s="108"/>
      <c r="G29" s="112"/>
      <c r="H29" s="61"/>
      <c r="I29" s="62"/>
      <c r="J29" s="63"/>
      <c r="K29" s="59"/>
      <c r="L29" s="53"/>
    </row>
    <row r="30" spans="2:12" x14ac:dyDescent="0.25">
      <c r="B30" s="100"/>
      <c r="C30" s="95"/>
      <c r="D30" s="107"/>
      <c r="E30" s="107"/>
      <c r="F30" s="108"/>
      <c r="G30" s="112"/>
      <c r="H30" s="61"/>
      <c r="I30" s="62"/>
      <c r="J30" s="63"/>
      <c r="K30" s="59"/>
      <c r="L30" s="53"/>
    </row>
    <row r="31" spans="2:12" x14ac:dyDescent="0.25">
      <c r="B31" s="100"/>
      <c r="C31" s="96" t="s">
        <v>36</v>
      </c>
      <c r="D31" s="107"/>
      <c r="E31" s="107"/>
      <c r="F31" s="108"/>
      <c r="G31" s="112"/>
      <c r="H31" s="61"/>
      <c r="I31" s="62"/>
      <c r="J31" s="63"/>
      <c r="K31" s="59"/>
      <c r="L31" s="53"/>
    </row>
    <row r="32" spans="2:12" x14ac:dyDescent="0.25">
      <c r="B32" s="100"/>
      <c r="C32" s="95" t="s">
        <v>37</v>
      </c>
      <c r="D32" s="109"/>
      <c r="E32" s="109"/>
      <c r="F32" s="109"/>
      <c r="G32" s="110"/>
      <c r="H32" s="65"/>
      <c r="I32" s="11"/>
      <c r="J32" s="52"/>
      <c r="L32" s="53"/>
    </row>
    <row r="33" spans="2:12" x14ac:dyDescent="0.25">
      <c r="B33" s="100"/>
      <c r="C33" s="95"/>
      <c r="D33" s="109"/>
      <c r="E33" s="109"/>
      <c r="F33" s="109"/>
      <c r="G33" s="110"/>
      <c r="H33" s="65"/>
      <c r="I33" s="11"/>
      <c r="J33" s="52"/>
      <c r="L33" s="53"/>
    </row>
    <row r="34" spans="2:12" x14ac:dyDescent="0.25">
      <c r="B34" s="100"/>
      <c r="C34" s="95"/>
      <c r="D34" s="109"/>
      <c r="E34" s="109"/>
      <c r="F34" s="109"/>
      <c r="G34" s="110"/>
      <c r="H34" s="65"/>
      <c r="I34" s="11"/>
      <c r="J34" s="52"/>
      <c r="L34" s="53"/>
    </row>
    <row r="35" spans="2:12" x14ac:dyDescent="0.25">
      <c r="B35" s="100"/>
      <c r="C35" s="56" t="s">
        <v>8</v>
      </c>
      <c r="D35" s="104"/>
      <c r="E35" s="104"/>
      <c r="F35" s="104"/>
      <c r="G35" s="105"/>
      <c r="H35" s="57"/>
      <c r="I35" s="11"/>
      <c r="J35" s="113"/>
      <c r="K35" s="24"/>
      <c r="L35" s="53"/>
    </row>
    <row r="36" spans="2:12" x14ac:dyDescent="0.25">
      <c r="B36" s="100"/>
      <c r="C36" s="54" t="s">
        <v>7</v>
      </c>
      <c r="D36" s="102"/>
      <c r="E36" s="102"/>
      <c r="F36" s="102"/>
      <c r="G36" s="103"/>
      <c r="H36" s="55"/>
      <c r="I36" s="11"/>
      <c r="J36" s="113"/>
      <c r="K36" s="24"/>
      <c r="L36" s="53"/>
    </row>
    <row r="37" spans="2:12" x14ac:dyDescent="0.25">
      <c r="B37" s="101"/>
      <c r="C37" s="66"/>
      <c r="D37" s="67"/>
      <c r="E37" s="67"/>
      <c r="F37" s="67"/>
      <c r="G37" s="111"/>
      <c r="H37" s="68"/>
      <c r="I37" s="10"/>
      <c r="J37" s="114" t="s">
        <v>6</v>
      </c>
      <c r="K37" s="72" t="s">
        <v>5</v>
      </c>
      <c r="L37" s="69">
        <f>L14+L22</f>
        <v>1300</v>
      </c>
    </row>
    <row r="38" spans="2:12" ht="33" customHeight="1" x14ac:dyDescent="0.25">
      <c r="B38" s="88" t="s">
        <v>4</v>
      </c>
      <c r="C38" s="534" t="s">
        <v>176</v>
      </c>
      <c r="D38" s="535"/>
      <c r="E38" s="535"/>
      <c r="F38" s="535"/>
      <c r="G38" s="535"/>
      <c r="H38" s="535"/>
      <c r="I38" s="535"/>
      <c r="J38" s="535"/>
      <c r="K38" s="535"/>
      <c r="L38" s="536"/>
    </row>
    <row r="39" spans="2:12" x14ac:dyDescent="0.25">
      <c r="B39" s="136"/>
      <c r="C39" s="137"/>
      <c r="D39" s="138"/>
      <c r="E39" s="138"/>
      <c r="F39" s="138"/>
      <c r="G39" s="138"/>
      <c r="H39" s="138"/>
      <c r="I39" s="138"/>
      <c r="J39" s="138"/>
      <c r="K39" s="138"/>
      <c r="L39" s="141"/>
    </row>
    <row r="40" spans="2:12" x14ac:dyDescent="0.25">
      <c r="B40" s="136"/>
      <c r="C40" s="139"/>
      <c r="D40" s="140"/>
      <c r="E40" s="140"/>
      <c r="F40" s="140"/>
      <c r="G40" s="140"/>
      <c r="H40" s="117"/>
      <c r="I40" s="117"/>
      <c r="J40" s="117"/>
      <c r="K40" s="117"/>
      <c r="L40" s="118"/>
    </row>
    <row r="41" spans="2:12" x14ac:dyDescent="0.25">
      <c r="B41" s="73"/>
      <c r="C41" s="445"/>
      <c r="D41" s="444"/>
      <c r="E41" s="444"/>
      <c r="F41" s="444"/>
      <c r="G41" s="444"/>
      <c r="H41" s="441" t="s">
        <v>3</v>
      </c>
      <c r="I41" s="442"/>
      <c r="J41" s="442"/>
      <c r="K41" s="442"/>
      <c r="L41" s="443"/>
    </row>
    <row r="42" spans="2:12" x14ac:dyDescent="0.25">
      <c r="B42" s="25"/>
      <c r="C42" s="450"/>
      <c r="D42" s="480"/>
      <c r="E42" s="480"/>
      <c r="F42" s="480"/>
      <c r="G42" s="451"/>
      <c r="H42" s="454"/>
      <c r="I42" s="455"/>
      <c r="J42" s="455"/>
      <c r="K42" s="455"/>
      <c r="L42" s="456"/>
    </row>
    <row r="43" spans="2:12" x14ac:dyDescent="0.25">
      <c r="B43" s="78" t="s">
        <v>2</v>
      </c>
      <c r="C43" s="452"/>
      <c r="D43" s="481"/>
      <c r="E43" s="481"/>
      <c r="F43" s="481"/>
      <c r="G43" s="453"/>
      <c r="H43" s="457"/>
      <c r="I43" s="458"/>
      <c r="J43" s="458"/>
      <c r="K43" s="458"/>
      <c r="L43" s="459"/>
    </row>
    <row r="44" spans="2:12" x14ac:dyDescent="0.25">
      <c r="B44" s="78" t="s">
        <v>1</v>
      </c>
      <c r="C44" s="440" t="s">
        <v>48</v>
      </c>
      <c r="D44" s="440"/>
      <c r="E44" s="440"/>
      <c r="F44" s="440"/>
      <c r="G44" s="440"/>
      <c r="H44" s="441" t="s">
        <v>31</v>
      </c>
      <c r="I44" s="442"/>
      <c r="J44" s="442"/>
      <c r="K44" s="442"/>
      <c r="L44" s="443"/>
    </row>
    <row r="45" spans="2:12" x14ac:dyDescent="0.25">
      <c r="B45" s="83" t="s">
        <v>0</v>
      </c>
      <c r="C45" s="444" t="s">
        <v>121</v>
      </c>
      <c r="D45" s="444"/>
      <c r="E45" s="444"/>
      <c r="F45" s="444"/>
      <c r="G45" s="444"/>
      <c r="H45" s="445" t="s">
        <v>32</v>
      </c>
      <c r="I45" s="444"/>
      <c r="J45" s="444"/>
      <c r="K45" s="444"/>
      <c r="L45" s="446"/>
    </row>
  </sheetData>
  <mergeCells count="26">
    <mergeCell ref="C11:G12"/>
    <mergeCell ref="B1:L1"/>
    <mergeCell ref="B2:L2"/>
    <mergeCell ref="B3:L3"/>
    <mergeCell ref="B4:L4"/>
    <mergeCell ref="C6:H6"/>
    <mergeCell ref="C8:G8"/>
    <mergeCell ref="K8:L8"/>
    <mergeCell ref="D13:E13"/>
    <mergeCell ref="F13:G13"/>
    <mergeCell ref="C38:L38"/>
    <mergeCell ref="D14:E14"/>
    <mergeCell ref="F14:G14"/>
    <mergeCell ref="C19:G20"/>
    <mergeCell ref="D21:E21"/>
    <mergeCell ref="F21:G21"/>
    <mergeCell ref="D22:E22"/>
    <mergeCell ref="F22:G22"/>
    <mergeCell ref="C45:G45"/>
    <mergeCell ref="H45:L45"/>
    <mergeCell ref="C41:G41"/>
    <mergeCell ref="H41:L41"/>
    <mergeCell ref="C42:G43"/>
    <mergeCell ref="H42:L43"/>
    <mergeCell ref="C44:G44"/>
    <mergeCell ref="H44:L44"/>
  </mergeCells>
  <pageMargins left="0.23622047244094491" right="0.23622047244094491" top="1.1417322834645669" bottom="0.74803149606299213" header="0.31496062992125984" footer="0.31496062992125984"/>
  <pageSetup paperSize="9" scale="73"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ED0C-A224-4199-B17B-18F74EA41869}">
  <sheetPr>
    <tabColor theme="9"/>
    <pageSetUpPr fitToPage="1"/>
  </sheetPr>
  <dimension ref="A1:M39"/>
  <sheetViews>
    <sheetView view="pageBreakPreview" zoomScale="85" zoomScaleNormal="100" zoomScaleSheetLayoutView="85" workbookViewId="0">
      <selection activeCell="L15" sqref="L15"/>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22" t="s">
        <v>28</v>
      </c>
      <c r="C1" s="422"/>
      <c r="D1" s="422"/>
      <c r="E1" s="422"/>
      <c r="F1" s="422"/>
      <c r="G1" s="422"/>
      <c r="H1" s="422"/>
      <c r="I1" s="422"/>
      <c r="J1" s="422"/>
      <c r="K1" s="422"/>
      <c r="L1" s="422"/>
    </row>
    <row r="2" spans="1:13" ht="18" x14ac:dyDescent="0.25">
      <c r="A2" s="545" t="s">
        <v>27</v>
      </c>
      <c r="B2" s="545"/>
      <c r="C2" s="545"/>
      <c r="D2" s="545"/>
      <c r="E2" s="545"/>
      <c r="F2" s="545"/>
      <c r="G2" s="545"/>
      <c r="H2" s="545"/>
      <c r="I2" s="545"/>
      <c r="J2" s="545"/>
      <c r="K2" s="545"/>
      <c r="L2" s="545"/>
      <c r="M2" s="545"/>
    </row>
    <row r="3" spans="1:13" ht="16.149999999999999" customHeight="1" x14ac:dyDescent="0.25">
      <c r="A3" s="546" t="s">
        <v>442</v>
      </c>
      <c r="B3" s="547"/>
      <c r="C3" s="547"/>
      <c r="D3" s="547"/>
      <c r="E3" s="547"/>
      <c r="F3" s="547"/>
      <c r="G3" s="547"/>
      <c r="H3" s="547"/>
      <c r="I3" s="547"/>
      <c r="J3" s="547"/>
      <c r="K3" s="547"/>
      <c r="L3" s="547"/>
      <c r="M3" s="547"/>
    </row>
    <row r="4" spans="1:13" x14ac:dyDescent="0.25">
      <c r="A4" s="546" t="s">
        <v>393</v>
      </c>
      <c r="B4" s="546"/>
      <c r="C4" s="546"/>
      <c r="D4" s="546"/>
      <c r="E4" s="546"/>
      <c r="F4" s="546"/>
      <c r="G4" s="546"/>
      <c r="H4" s="546"/>
      <c r="I4" s="546"/>
      <c r="J4" s="546"/>
      <c r="K4" s="546"/>
      <c r="L4" s="546"/>
      <c r="M4" s="546"/>
    </row>
    <row r="5" spans="1:13" x14ac:dyDescent="0.25">
      <c r="A5" s="548" t="s">
        <v>394</v>
      </c>
      <c r="B5" s="548"/>
      <c r="C5" s="548"/>
      <c r="D5" s="548"/>
      <c r="E5" s="548"/>
      <c r="F5" s="548"/>
      <c r="G5" s="548"/>
      <c r="H5" s="548"/>
      <c r="I5" s="548"/>
      <c r="J5" s="548"/>
      <c r="K5" s="548"/>
      <c r="L5" s="548"/>
      <c r="M5" s="548"/>
    </row>
    <row r="6" spans="1:13" x14ac:dyDescent="0.25">
      <c r="A6" s="548" t="s">
        <v>395</v>
      </c>
      <c r="B6" s="548"/>
      <c r="C6" s="548"/>
      <c r="D6" s="548"/>
      <c r="E6" s="548"/>
      <c r="F6" s="548"/>
      <c r="G6" s="548"/>
      <c r="H6" s="548"/>
      <c r="I6" s="548"/>
      <c r="J6" s="548"/>
      <c r="K6" s="548"/>
      <c r="L6" s="548"/>
      <c r="M6" s="548"/>
    </row>
    <row r="7" spans="1:13" ht="16.149999999999999" customHeight="1" x14ac:dyDescent="0.25">
      <c r="A7" s="548" t="s">
        <v>396</v>
      </c>
      <c r="B7" s="548"/>
      <c r="C7" s="548"/>
      <c r="D7" s="548"/>
      <c r="E7" s="548"/>
      <c r="F7" s="548"/>
      <c r="G7" s="548"/>
      <c r="H7" s="548"/>
      <c r="I7" s="548"/>
      <c r="J7" s="548"/>
      <c r="K7" s="548"/>
      <c r="L7" s="548"/>
      <c r="M7" s="548"/>
    </row>
    <row r="8" spans="1:13" x14ac:dyDescent="0.25">
      <c r="A8" s="549" t="s">
        <v>397</v>
      </c>
      <c r="B8" s="549"/>
      <c r="C8" s="549"/>
      <c r="D8" s="549"/>
      <c r="E8" s="549"/>
      <c r="F8" s="549"/>
      <c r="G8" s="549"/>
      <c r="H8" s="549"/>
      <c r="I8" s="549"/>
      <c r="J8" s="549"/>
      <c r="K8" s="549"/>
      <c r="L8" s="549"/>
      <c r="M8" s="549"/>
    </row>
    <row r="9" spans="1:13" ht="34.15" customHeight="1" x14ac:dyDescent="0.25">
      <c r="B9" s="31"/>
      <c r="C9" s="30"/>
      <c r="D9" s="38"/>
      <c r="E9" s="38"/>
      <c r="F9" s="38"/>
      <c r="G9" s="38"/>
      <c r="H9" s="38"/>
      <c r="I9" s="29" t="s">
        <v>398</v>
      </c>
      <c r="J9" s="39"/>
      <c r="K9" s="27"/>
      <c r="L9" s="40" t="s">
        <v>553</v>
      </c>
    </row>
    <row r="10" spans="1:13" ht="21" customHeight="1" x14ac:dyDescent="0.25">
      <c r="B10" s="25" t="s">
        <v>26</v>
      </c>
      <c r="C10" s="427" t="s">
        <v>30</v>
      </c>
      <c r="D10" s="427"/>
      <c r="E10" s="427"/>
      <c r="F10" s="427"/>
      <c r="G10" s="427"/>
      <c r="H10" s="427"/>
      <c r="I10" s="24" t="s">
        <v>25</v>
      </c>
      <c r="L10" s="42" t="s">
        <v>22</v>
      </c>
    </row>
    <row r="11" spans="1:13" ht="18.600000000000001" customHeight="1" x14ac:dyDescent="0.25">
      <c r="B11" s="22" t="s">
        <v>24</v>
      </c>
      <c r="C11" s="72" t="s">
        <v>47</v>
      </c>
      <c r="D11" s="71"/>
      <c r="E11" s="71"/>
      <c r="F11" s="71"/>
      <c r="G11" s="71"/>
      <c r="H11" s="71"/>
      <c r="I11" s="20" t="s">
        <v>23</v>
      </c>
      <c r="J11" s="43"/>
      <c r="K11" s="13"/>
      <c r="L11" s="44" t="s">
        <v>22</v>
      </c>
    </row>
    <row r="12" spans="1:13" ht="31.5" customHeight="1" x14ac:dyDescent="0.25">
      <c r="B12" s="142" t="s">
        <v>29</v>
      </c>
      <c r="C12" s="428" t="s">
        <v>19</v>
      </c>
      <c r="D12" s="462"/>
      <c r="E12" s="462"/>
      <c r="F12" s="462"/>
      <c r="G12" s="429"/>
      <c r="H12" s="143" t="s">
        <v>21</v>
      </c>
      <c r="I12" s="33" t="s">
        <v>20</v>
      </c>
      <c r="J12" s="47" t="s">
        <v>18</v>
      </c>
      <c r="K12" s="430" t="s">
        <v>17</v>
      </c>
      <c r="L12" s="431"/>
    </row>
    <row r="13" spans="1:13" ht="21.75" customHeight="1" x14ac:dyDescent="0.25">
      <c r="B13" s="31"/>
      <c r="C13" s="48"/>
      <c r="D13" s="49"/>
      <c r="E13" s="49"/>
      <c r="F13" s="49"/>
      <c r="G13" s="130"/>
      <c r="H13" s="130"/>
      <c r="I13" s="12"/>
      <c r="J13" s="50"/>
      <c r="K13" s="27"/>
      <c r="L13" s="51"/>
    </row>
    <row r="14" spans="1:13" ht="20.25" customHeight="1" x14ac:dyDescent="0.25">
      <c r="B14" s="100"/>
      <c r="C14" s="106"/>
      <c r="D14" s="102"/>
      <c r="E14" s="102"/>
      <c r="F14" s="102"/>
      <c r="G14" s="103"/>
      <c r="H14" s="103"/>
      <c r="I14" s="11"/>
      <c r="J14" s="52"/>
      <c r="L14" s="53"/>
    </row>
    <row r="15" spans="1:13" x14ac:dyDescent="0.25">
      <c r="B15" s="100"/>
      <c r="C15" s="539" t="s">
        <v>437</v>
      </c>
      <c r="D15" s="540"/>
      <c r="E15" s="540"/>
      <c r="F15" s="540"/>
      <c r="G15" s="541"/>
      <c r="H15" s="103"/>
      <c r="I15" s="11"/>
      <c r="J15" s="52"/>
      <c r="L15" s="53"/>
    </row>
    <row r="16" spans="1:13" x14ac:dyDescent="0.25">
      <c r="B16" s="100"/>
      <c r="C16" s="542"/>
      <c r="D16" s="543"/>
      <c r="E16" s="543"/>
      <c r="F16" s="543"/>
      <c r="G16" s="544"/>
      <c r="H16" s="103"/>
      <c r="I16" s="11"/>
      <c r="J16" s="52"/>
      <c r="L16" s="53"/>
    </row>
    <row r="17" spans="2:12" x14ac:dyDescent="0.25">
      <c r="B17" s="100"/>
      <c r="C17" s="60" t="s">
        <v>21</v>
      </c>
      <c r="D17" s="469" t="s">
        <v>41</v>
      </c>
      <c r="E17" s="469"/>
      <c r="F17" s="469" t="s">
        <v>42</v>
      </c>
      <c r="G17" s="469"/>
      <c r="H17" s="129"/>
      <c r="I17" s="11"/>
      <c r="J17" s="52"/>
      <c r="K17" s="59"/>
      <c r="L17" s="53"/>
    </row>
    <row r="18" spans="2:12" x14ac:dyDescent="0.25">
      <c r="B18" s="100"/>
      <c r="C18" s="70">
        <v>4</v>
      </c>
      <c r="D18" s="470" t="s">
        <v>440</v>
      </c>
      <c r="E18" s="471"/>
      <c r="F18" s="537" t="s">
        <v>558</v>
      </c>
      <c r="G18" s="538"/>
      <c r="H18" s="129">
        <v>4</v>
      </c>
      <c r="I18" s="11" t="s">
        <v>441</v>
      </c>
      <c r="J18" s="113">
        <v>520</v>
      </c>
      <c r="K18" s="59"/>
      <c r="L18" s="119">
        <f>H18*J18</f>
        <v>2080</v>
      </c>
    </row>
    <row r="19" spans="2:12" x14ac:dyDescent="0.25">
      <c r="B19" s="100"/>
      <c r="C19" s="147" t="s">
        <v>40</v>
      </c>
      <c r="D19" s="148"/>
      <c r="E19" s="148"/>
      <c r="F19" s="133"/>
      <c r="G19" s="134"/>
      <c r="H19" s="135"/>
      <c r="I19" s="78"/>
      <c r="J19" s="113"/>
      <c r="K19" s="89"/>
      <c r="L19" s="119"/>
    </row>
    <row r="20" spans="2:12" x14ac:dyDescent="0.25">
      <c r="B20" s="100"/>
      <c r="C20" s="106" t="s">
        <v>439</v>
      </c>
      <c r="D20" s="218"/>
      <c r="E20" s="218"/>
      <c r="F20" s="221"/>
      <c r="G20" s="135"/>
      <c r="H20" s="135"/>
      <c r="I20" s="78"/>
      <c r="J20" s="113"/>
      <c r="K20" s="89"/>
      <c r="L20" s="119"/>
    </row>
    <row r="21" spans="2:12" x14ac:dyDescent="0.25">
      <c r="B21" s="100"/>
      <c r="C21" s="149"/>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ht="33" customHeight="1"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ht="15.75" customHeight="1"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2080</v>
      </c>
    </row>
    <row r="33" spans="2:12" ht="16.5" x14ac:dyDescent="0.25">
      <c r="B33" s="88" t="s">
        <v>4</v>
      </c>
      <c r="C33" s="534" t="s">
        <v>437</v>
      </c>
      <c r="D33" s="535"/>
      <c r="E33" s="535"/>
      <c r="F33" s="535"/>
      <c r="G33" s="535"/>
      <c r="H33" s="535"/>
      <c r="I33" s="535"/>
      <c r="J33" s="535"/>
      <c r="K33" s="535"/>
      <c r="L33" s="536"/>
    </row>
    <row r="34" spans="2:12" x14ac:dyDescent="0.25">
      <c r="B34" s="136"/>
      <c r="C34" s="137"/>
      <c r="D34" s="138"/>
      <c r="E34" s="138"/>
      <c r="F34" s="138"/>
      <c r="G34" s="138"/>
      <c r="H34" s="138"/>
      <c r="I34" s="138"/>
      <c r="J34" s="138"/>
      <c r="K34" s="138"/>
      <c r="L34" s="141"/>
    </row>
    <row r="35" spans="2:12" x14ac:dyDescent="0.25">
      <c r="B35" s="73"/>
      <c r="C35" s="445"/>
      <c r="D35" s="444"/>
      <c r="E35" s="444"/>
      <c r="F35" s="444"/>
      <c r="G35" s="444"/>
      <c r="H35" s="441" t="s">
        <v>3</v>
      </c>
      <c r="I35" s="442"/>
      <c r="J35" s="442"/>
      <c r="K35" s="442"/>
      <c r="L35" s="443"/>
    </row>
    <row r="36" spans="2:12" x14ac:dyDescent="0.25">
      <c r="B36" s="25"/>
      <c r="C36" s="450"/>
      <c r="D36" s="480"/>
      <c r="E36" s="480"/>
      <c r="F36" s="480"/>
      <c r="G36" s="451"/>
      <c r="H36" s="454"/>
      <c r="I36" s="455"/>
      <c r="J36" s="455"/>
      <c r="K36" s="455"/>
      <c r="L36" s="456"/>
    </row>
    <row r="37" spans="2:12" x14ac:dyDescent="0.25">
      <c r="B37" s="78" t="s">
        <v>2</v>
      </c>
      <c r="C37" s="452"/>
      <c r="D37" s="481"/>
      <c r="E37" s="481"/>
      <c r="F37" s="481"/>
      <c r="G37" s="453"/>
      <c r="H37" s="457"/>
      <c r="I37" s="458"/>
      <c r="J37" s="458"/>
      <c r="K37" s="458"/>
      <c r="L37" s="459"/>
    </row>
    <row r="38" spans="2:12" x14ac:dyDescent="0.25">
      <c r="B38" s="78" t="s">
        <v>1</v>
      </c>
      <c r="C38" s="440" t="s">
        <v>216</v>
      </c>
      <c r="D38" s="440"/>
      <c r="E38" s="440"/>
      <c r="F38" s="440"/>
      <c r="G38" s="440"/>
      <c r="H38" s="441" t="s">
        <v>533</v>
      </c>
      <c r="I38" s="442"/>
      <c r="J38" s="442"/>
      <c r="K38" s="442"/>
      <c r="L38" s="443"/>
    </row>
    <row r="39" spans="2:12" x14ac:dyDescent="0.25">
      <c r="B39" s="83" t="s">
        <v>0</v>
      </c>
      <c r="C39" s="444" t="s">
        <v>227</v>
      </c>
      <c r="D39" s="444"/>
      <c r="E39" s="444"/>
      <c r="F39" s="444"/>
      <c r="G39" s="444"/>
      <c r="H39" s="445" t="s">
        <v>522</v>
      </c>
      <c r="I39" s="444"/>
      <c r="J39" s="444"/>
      <c r="K39" s="444"/>
      <c r="L39" s="446"/>
    </row>
  </sheetData>
  <mergeCells count="25">
    <mergeCell ref="B1:L1"/>
    <mergeCell ref="C10:H10"/>
    <mergeCell ref="C12:G12"/>
    <mergeCell ref="K12:L12"/>
    <mergeCell ref="D17:E17"/>
    <mergeCell ref="F17:G17"/>
    <mergeCell ref="A2:M2"/>
    <mergeCell ref="A3:M3"/>
    <mergeCell ref="A4:M4"/>
    <mergeCell ref="A5:M5"/>
    <mergeCell ref="A6:M6"/>
    <mergeCell ref="A7:M7"/>
    <mergeCell ref="A8:M8"/>
    <mergeCell ref="C15:G16"/>
    <mergeCell ref="D18:E18"/>
    <mergeCell ref="F18:G18"/>
    <mergeCell ref="C33:L33"/>
    <mergeCell ref="C39:G39"/>
    <mergeCell ref="H39:L39"/>
    <mergeCell ref="C35:G35"/>
    <mergeCell ref="H35:L35"/>
    <mergeCell ref="C36:G37"/>
    <mergeCell ref="H36:L37"/>
    <mergeCell ref="C38:G38"/>
    <mergeCell ref="H38:L38"/>
  </mergeCells>
  <pageMargins left="0.23622047244094491" right="0.23622047244094491" top="1.1417322834645669" bottom="0.74803149606299213" header="0.31496062992125984" footer="0.31496062992125984"/>
  <pageSetup paperSize="9" scale="73"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18DD-9CC6-4853-8F57-3964792AEF89}">
  <sheetPr>
    <tabColor theme="9"/>
    <pageSetUpPr fitToPage="1"/>
  </sheetPr>
  <dimension ref="A1:M41"/>
  <sheetViews>
    <sheetView view="pageBreakPreview" zoomScaleNormal="100" zoomScaleSheetLayoutView="100" workbookViewId="0">
      <selection activeCell="F19" sqref="F19:G19"/>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22" t="s">
        <v>28</v>
      </c>
      <c r="C1" s="422"/>
      <c r="D1" s="422"/>
      <c r="E1" s="422"/>
      <c r="F1" s="422"/>
      <c r="G1" s="422"/>
      <c r="H1" s="422"/>
      <c r="I1" s="422"/>
      <c r="J1" s="422"/>
      <c r="K1" s="422"/>
      <c r="L1" s="422"/>
    </row>
    <row r="2" spans="1:13" ht="18" x14ac:dyDescent="0.25">
      <c r="A2" s="423" t="s">
        <v>27</v>
      </c>
      <c r="B2" s="423"/>
      <c r="C2" s="423"/>
      <c r="D2" s="423"/>
      <c r="E2" s="423"/>
      <c r="F2" s="423"/>
      <c r="G2" s="423"/>
      <c r="H2" s="423"/>
      <c r="I2" s="423"/>
      <c r="J2" s="423"/>
      <c r="K2" s="423"/>
      <c r="L2" s="423"/>
      <c r="M2" s="423"/>
    </row>
    <row r="3" spans="1:13" ht="16.149999999999999" customHeight="1" x14ac:dyDescent="0.25">
      <c r="A3" s="575" t="s">
        <v>442</v>
      </c>
      <c r="B3" s="576"/>
      <c r="C3" s="576"/>
      <c r="D3" s="576"/>
      <c r="E3" s="576"/>
      <c r="F3" s="576"/>
      <c r="G3" s="576"/>
      <c r="H3" s="576"/>
      <c r="I3" s="576"/>
      <c r="J3" s="576"/>
      <c r="K3" s="576"/>
      <c r="L3" s="576"/>
      <c r="M3" s="577"/>
    </row>
    <row r="4" spans="1:13" x14ac:dyDescent="0.25">
      <c r="A4" s="606" t="s">
        <v>393</v>
      </c>
      <c r="B4" s="606"/>
      <c r="C4" s="606"/>
      <c r="D4" s="606"/>
      <c r="E4" s="606"/>
      <c r="F4" s="606"/>
      <c r="G4" s="606"/>
      <c r="H4" s="606"/>
      <c r="I4" s="606"/>
      <c r="J4" s="606"/>
      <c r="K4" s="606"/>
      <c r="L4" s="606"/>
      <c r="M4" s="606"/>
    </row>
    <row r="5" spans="1:13" x14ac:dyDescent="0.25">
      <c r="A5" s="599" t="s">
        <v>394</v>
      </c>
      <c r="B5" s="599"/>
      <c r="C5" s="599"/>
      <c r="D5" s="599"/>
      <c r="E5" s="599"/>
      <c r="F5" s="599"/>
      <c r="G5" s="599"/>
      <c r="H5" s="599"/>
      <c r="I5" s="599"/>
      <c r="J5" s="599"/>
      <c r="K5" s="599"/>
      <c r="L5" s="599"/>
      <c r="M5" s="599"/>
    </row>
    <row r="6" spans="1:13" x14ac:dyDescent="0.25">
      <c r="A6" s="599" t="s">
        <v>395</v>
      </c>
      <c r="B6" s="599"/>
      <c r="C6" s="599"/>
      <c r="D6" s="599"/>
      <c r="E6" s="599"/>
      <c r="F6" s="599"/>
      <c r="G6" s="599"/>
      <c r="H6" s="599"/>
      <c r="I6" s="599"/>
      <c r="J6" s="599"/>
      <c r="K6" s="599"/>
      <c r="L6" s="599"/>
      <c r="M6" s="599"/>
    </row>
    <row r="7" spans="1:13" x14ac:dyDescent="0.25">
      <c r="A7" s="599" t="s">
        <v>396</v>
      </c>
      <c r="B7" s="599"/>
      <c r="C7" s="599"/>
      <c r="D7" s="599"/>
      <c r="E7" s="599"/>
      <c r="F7" s="599"/>
      <c r="G7" s="599"/>
      <c r="H7" s="599"/>
      <c r="I7" s="599"/>
      <c r="J7" s="599"/>
      <c r="K7" s="599"/>
      <c r="L7" s="599"/>
      <c r="M7" s="599"/>
    </row>
    <row r="8" spans="1:13" x14ac:dyDescent="0.25">
      <c r="A8" s="599" t="s">
        <v>397</v>
      </c>
      <c r="B8" s="599"/>
      <c r="C8" s="599"/>
      <c r="D8" s="599"/>
      <c r="E8" s="599"/>
      <c r="F8" s="599"/>
      <c r="G8" s="599"/>
      <c r="H8" s="599"/>
      <c r="I8" s="599"/>
      <c r="J8" s="599"/>
      <c r="K8" s="599"/>
      <c r="L8" s="599"/>
      <c r="M8" s="599"/>
    </row>
    <row r="9" spans="1:13" x14ac:dyDescent="0.25">
      <c r="B9" s="426"/>
      <c r="C9" s="426"/>
      <c r="D9" s="426"/>
      <c r="E9" s="426"/>
      <c r="F9" s="426"/>
      <c r="G9" s="426"/>
      <c r="H9" s="426"/>
      <c r="I9" s="426"/>
      <c r="J9" s="426"/>
      <c r="K9" s="426"/>
      <c r="L9" s="426"/>
    </row>
    <row r="10" spans="1:13" ht="21.75" customHeight="1" x14ac:dyDescent="0.25">
      <c r="B10" s="31"/>
      <c r="C10" s="30"/>
      <c r="D10" s="38"/>
      <c r="E10" s="38"/>
      <c r="F10" s="38"/>
      <c r="G10" s="38"/>
      <c r="H10" s="38"/>
      <c r="I10" s="29" t="s">
        <v>398</v>
      </c>
      <c r="J10" s="39"/>
      <c r="K10" s="27"/>
      <c r="L10" s="40" t="s">
        <v>438</v>
      </c>
    </row>
    <row r="11" spans="1:13" ht="21" customHeight="1" x14ac:dyDescent="0.25">
      <c r="B11" s="25" t="s">
        <v>26</v>
      </c>
      <c r="C11" s="427" t="s">
        <v>30</v>
      </c>
      <c r="D11" s="427"/>
      <c r="E11" s="427"/>
      <c r="F11" s="427"/>
      <c r="G11" s="427"/>
      <c r="H11" s="427"/>
      <c r="I11" s="24" t="s">
        <v>25</v>
      </c>
      <c r="L11" s="42" t="s">
        <v>22</v>
      </c>
    </row>
    <row r="12" spans="1:13" ht="21" customHeight="1" x14ac:dyDescent="0.25">
      <c r="B12" s="22" t="s">
        <v>24</v>
      </c>
      <c r="C12" s="72" t="s">
        <v>47</v>
      </c>
      <c r="D12" s="71"/>
      <c r="E12" s="71"/>
      <c r="F12" s="71"/>
      <c r="G12" s="71"/>
      <c r="H12" s="71"/>
      <c r="I12" s="20" t="s">
        <v>23</v>
      </c>
      <c r="J12" s="43"/>
      <c r="K12" s="13"/>
      <c r="L12" s="44" t="s">
        <v>22</v>
      </c>
    </row>
    <row r="13" spans="1:13" ht="31.5" customHeight="1" x14ac:dyDescent="0.25">
      <c r="B13" s="142" t="s">
        <v>29</v>
      </c>
      <c r="C13" s="428" t="s">
        <v>19</v>
      </c>
      <c r="D13" s="462"/>
      <c r="E13" s="462"/>
      <c r="F13" s="462"/>
      <c r="G13" s="429"/>
      <c r="H13" s="143" t="s">
        <v>21</v>
      </c>
      <c r="I13" s="33" t="s">
        <v>20</v>
      </c>
      <c r="J13" s="47" t="s">
        <v>18</v>
      </c>
      <c r="K13" s="430" t="s">
        <v>17</v>
      </c>
      <c r="L13" s="431"/>
    </row>
    <row r="14" spans="1:13" ht="20.25" customHeight="1" x14ac:dyDescent="0.25">
      <c r="B14" s="31"/>
      <c r="C14" s="48"/>
      <c r="D14" s="49"/>
      <c r="E14" s="49"/>
      <c r="F14" s="49"/>
      <c r="G14" s="130"/>
      <c r="H14" s="130"/>
      <c r="I14" s="12"/>
      <c r="J14" s="50"/>
      <c r="K14" s="27"/>
      <c r="L14" s="51"/>
    </row>
    <row r="15" spans="1:13" ht="21.75" customHeight="1" x14ac:dyDescent="0.25">
      <c r="B15" s="100"/>
      <c r="C15" s="106"/>
      <c r="D15" s="102"/>
      <c r="E15" s="102"/>
      <c r="F15" s="102"/>
      <c r="G15" s="103"/>
      <c r="H15" s="103"/>
      <c r="I15" s="11"/>
      <c r="J15" s="52"/>
      <c r="L15" s="53"/>
    </row>
    <row r="16" spans="1:13" ht="21.75" customHeight="1" x14ac:dyDescent="0.25">
      <c r="B16" s="100"/>
      <c r="C16" s="539" t="s">
        <v>388</v>
      </c>
      <c r="D16" s="540"/>
      <c r="E16" s="540"/>
      <c r="F16" s="540"/>
      <c r="G16" s="541"/>
      <c r="H16" s="103"/>
      <c r="I16" s="11"/>
      <c r="J16" s="52"/>
      <c r="L16" s="53"/>
    </row>
    <row r="17" spans="2:12" x14ac:dyDescent="0.25">
      <c r="B17" s="100"/>
      <c r="C17" s="542"/>
      <c r="D17" s="543"/>
      <c r="E17" s="543"/>
      <c r="F17" s="543"/>
      <c r="G17" s="544"/>
      <c r="H17" s="103"/>
      <c r="I17" s="11"/>
      <c r="J17" s="52"/>
      <c r="L17" s="53"/>
    </row>
    <row r="18" spans="2:12" ht="15.75" customHeight="1" x14ac:dyDescent="0.25">
      <c r="B18" s="100"/>
      <c r="C18" s="60" t="s">
        <v>21</v>
      </c>
      <c r="D18" s="469" t="s">
        <v>41</v>
      </c>
      <c r="E18" s="469"/>
      <c r="F18" s="469" t="s">
        <v>42</v>
      </c>
      <c r="G18" s="469"/>
      <c r="H18" s="129"/>
      <c r="I18" s="11"/>
      <c r="J18" s="52"/>
      <c r="K18" s="59"/>
      <c r="L18" s="53"/>
    </row>
    <row r="19" spans="2:12" ht="15.75" customHeight="1" x14ac:dyDescent="0.3">
      <c r="B19" s="100"/>
      <c r="C19" s="244">
        <v>2</v>
      </c>
      <c r="D19" s="581" t="s">
        <v>143</v>
      </c>
      <c r="E19" s="582"/>
      <c r="F19" s="612" t="s">
        <v>389</v>
      </c>
      <c r="G19" s="584"/>
      <c r="H19" s="154">
        <v>1</v>
      </c>
      <c r="I19" s="293" t="s">
        <v>43</v>
      </c>
      <c r="J19" s="294">
        <v>900</v>
      </c>
      <c r="K19" s="295"/>
      <c r="L19" s="296">
        <f>H19*J19</f>
        <v>900</v>
      </c>
    </row>
    <row r="20" spans="2:12" x14ac:dyDescent="0.25">
      <c r="B20" s="100"/>
      <c r="C20" s="147" t="s">
        <v>40</v>
      </c>
      <c r="D20" s="148"/>
      <c r="E20" s="148"/>
      <c r="F20" s="133"/>
      <c r="G20" s="134"/>
      <c r="H20" s="135"/>
      <c r="I20" s="78"/>
      <c r="J20" s="113"/>
      <c r="K20" s="89"/>
      <c r="L20" s="119"/>
    </row>
    <row r="21" spans="2:12" x14ac:dyDescent="0.25">
      <c r="B21" s="100"/>
      <c r="C21" s="106" t="s">
        <v>387</v>
      </c>
      <c r="D21" s="218"/>
      <c r="E21" s="218"/>
      <c r="F21" s="221"/>
      <c r="G21" s="135"/>
      <c r="H21" s="135"/>
      <c r="I21" s="78"/>
      <c r="J21" s="113"/>
      <c r="K21" s="89"/>
      <c r="L21" s="119"/>
    </row>
    <row r="22" spans="2:12" x14ac:dyDescent="0.25">
      <c r="B22" s="100"/>
      <c r="C22" s="106"/>
      <c r="D22" s="218"/>
      <c r="E22" s="218"/>
      <c r="F22" s="221"/>
      <c r="G22" s="135"/>
      <c r="H22" s="135"/>
      <c r="I22" s="78"/>
      <c r="J22" s="113"/>
      <c r="K22" s="89"/>
      <c r="L22" s="119"/>
    </row>
    <row r="23" spans="2:12" x14ac:dyDescent="0.25">
      <c r="B23" s="100"/>
      <c r="C23" s="106"/>
      <c r="D23" s="218"/>
      <c r="E23" s="218"/>
      <c r="F23" s="221"/>
      <c r="G23" s="135"/>
      <c r="H23" s="135"/>
      <c r="I23" s="78"/>
      <c r="J23" s="113"/>
      <c r="K23" s="89"/>
      <c r="L23" s="119"/>
    </row>
    <row r="24" spans="2:12" x14ac:dyDescent="0.25">
      <c r="B24" s="100"/>
      <c r="C24" s="96" t="s">
        <v>33</v>
      </c>
      <c r="D24" s="107"/>
      <c r="E24" s="107"/>
      <c r="F24" s="108"/>
      <c r="G24" s="112"/>
      <c r="H24" s="61"/>
      <c r="I24" s="62"/>
      <c r="J24" s="63"/>
      <c r="K24" s="59"/>
      <c r="L24" s="53"/>
    </row>
    <row r="25" spans="2:12" x14ac:dyDescent="0.25">
      <c r="B25" s="100"/>
      <c r="C25" s="95" t="s">
        <v>34</v>
      </c>
      <c r="D25" s="107"/>
      <c r="E25" s="107"/>
      <c r="F25" s="108"/>
      <c r="G25" s="112"/>
      <c r="H25" s="61"/>
      <c r="I25" s="62"/>
      <c r="J25" s="63"/>
      <c r="K25" s="59"/>
      <c r="L25" s="53"/>
    </row>
    <row r="26" spans="2:12" x14ac:dyDescent="0.25">
      <c r="B26" s="100"/>
      <c r="C26" s="95" t="s">
        <v>35</v>
      </c>
      <c r="D26" s="107"/>
      <c r="E26" s="107"/>
      <c r="F26" s="108"/>
      <c r="G26" s="112"/>
      <c r="H26" s="61"/>
      <c r="I26" s="62"/>
      <c r="J26" s="63"/>
      <c r="K26" s="59"/>
      <c r="L26" s="53"/>
    </row>
    <row r="27" spans="2:12" x14ac:dyDescent="0.25">
      <c r="B27" s="100"/>
      <c r="C27" s="95"/>
      <c r="D27" s="107"/>
      <c r="E27" s="107"/>
      <c r="F27" s="108"/>
      <c r="G27" s="112"/>
      <c r="H27" s="61"/>
      <c r="I27" s="62"/>
      <c r="J27" s="63"/>
      <c r="K27" s="59"/>
      <c r="L27" s="53"/>
    </row>
    <row r="28" spans="2:12" ht="37.15" customHeight="1" x14ac:dyDescent="0.25">
      <c r="B28" s="100"/>
      <c r="C28" s="96" t="s">
        <v>36</v>
      </c>
      <c r="D28" s="107"/>
      <c r="E28" s="107"/>
      <c r="F28" s="108"/>
      <c r="G28" s="112"/>
      <c r="H28" s="61"/>
      <c r="I28" s="62"/>
      <c r="J28" s="63"/>
      <c r="K28" s="59"/>
      <c r="L28" s="53"/>
    </row>
    <row r="29" spans="2:12" x14ac:dyDescent="0.25">
      <c r="B29" s="100"/>
      <c r="C29" s="95" t="s">
        <v>37</v>
      </c>
      <c r="D29" s="109"/>
      <c r="E29" s="109"/>
      <c r="F29" s="109"/>
      <c r="G29" s="110"/>
      <c r="H29" s="65"/>
      <c r="I29" s="11"/>
      <c r="J29" s="52"/>
      <c r="L29" s="53"/>
    </row>
    <row r="30" spans="2:12" x14ac:dyDescent="0.25">
      <c r="B30" s="100"/>
      <c r="C30" s="95"/>
      <c r="D30" s="109"/>
      <c r="E30" s="109"/>
      <c r="F30" s="109"/>
      <c r="G30" s="110"/>
      <c r="H30" s="65"/>
      <c r="I30" s="11"/>
      <c r="J30" s="52"/>
      <c r="L30" s="53"/>
    </row>
    <row r="31" spans="2:12" x14ac:dyDescent="0.25">
      <c r="B31" s="100"/>
      <c r="C31" s="95"/>
      <c r="D31" s="109"/>
      <c r="E31" s="109"/>
      <c r="F31" s="109"/>
      <c r="G31" s="110"/>
      <c r="H31" s="65"/>
      <c r="I31" s="11"/>
      <c r="J31" s="52"/>
      <c r="L31" s="53"/>
    </row>
    <row r="32" spans="2:12" x14ac:dyDescent="0.25">
      <c r="B32" s="100"/>
      <c r="C32" s="56" t="s">
        <v>8</v>
      </c>
      <c r="D32" s="104"/>
      <c r="E32" s="104"/>
      <c r="F32" s="104"/>
      <c r="G32" s="105"/>
      <c r="H32" s="57"/>
      <c r="I32" s="11"/>
      <c r="J32" s="113"/>
      <c r="K32" s="24"/>
      <c r="L32" s="53"/>
    </row>
    <row r="33" spans="2:12" x14ac:dyDescent="0.25">
      <c r="B33" s="100"/>
      <c r="C33" s="54" t="s">
        <v>7</v>
      </c>
      <c r="D33" s="102"/>
      <c r="E33" s="102"/>
      <c r="F33" s="102"/>
      <c r="G33" s="103"/>
      <c r="H33" s="55"/>
      <c r="I33" s="11"/>
      <c r="J33" s="113"/>
      <c r="K33" s="24"/>
      <c r="L33" s="53"/>
    </row>
    <row r="34" spans="2:12" x14ac:dyDescent="0.25">
      <c r="B34" s="101"/>
      <c r="C34" s="66"/>
      <c r="D34" s="67"/>
      <c r="E34" s="67"/>
      <c r="F34" s="67"/>
      <c r="G34" s="111"/>
      <c r="H34" s="68"/>
      <c r="I34" s="10"/>
      <c r="J34" s="114" t="s">
        <v>6</v>
      </c>
      <c r="K34" s="72" t="s">
        <v>5</v>
      </c>
      <c r="L34" s="69">
        <f>L19</f>
        <v>900</v>
      </c>
    </row>
    <row r="35" spans="2:12" ht="16.5" x14ac:dyDescent="0.25">
      <c r="B35" s="88" t="s">
        <v>4</v>
      </c>
      <c r="C35" s="534" t="s">
        <v>388</v>
      </c>
      <c r="D35" s="535"/>
      <c r="E35" s="535"/>
      <c r="F35" s="535"/>
      <c r="G35" s="535"/>
      <c r="H35" s="535"/>
      <c r="I35" s="535"/>
      <c r="J35" s="535"/>
      <c r="K35" s="535"/>
      <c r="L35" s="536"/>
    </row>
    <row r="36" spans="2:12" x14ac:dyDescent="0.25">
      <c r="B36" s="136"/>
      <c r="C36" s="137"/>
      <c r="D36" s="138"/>
      <c r="E36" s="138"/>
      <c r="F36" s="138"/>
      <c r="G36" s="138"/>
      <c r="H36" s="138"/>
      <c r="I36" s="138"/>
      <c r="J36" s="138"/>
      <c r="K36" s="138"/>
      <c r="L36" s="141"/>
    </row>
    <row r="37" spans="2:12" x14ac:dyDescent="0.25">
      <c r="B37" s="73"/>
      <c r="C37" s="445"/>
      <c r="D37" s="444"/>
      <c r="E37" s="444"/>
      <c r="F37" s="444"/>
      <c r="G37" s="444"/>
      <c r="H37" s="441" t="s">
        <v>3</v>
      </c>
      <c r="I37" s="442"/>
      <c r="J37" s="442"/>
      <c r="K37" s="442"/>
      <c r="L37" s="443"/>
    </row>
    <row r="38" spans="2:12" x14ac:dyDescent="0.25">
      <c r="B38" s="25"/>
      <c r="C38" s="450"/>
      <c r="D38" s="480"/>
      <c r="E38" s="480"/>
      <c r="F38" s="480"/>
      <c r="G38" s="451"/>
      <c r="H38" s="454"/>
      <c r="I38" s="455"/>
      <c r="J38" s="455"/>
      <c r="K38" s="455"/>
      <c r="L38" s="456"/>
    </row>
    <row r="39" spans="2:12" x14ac:dyDescent="0.25">
      <c r="B39" s="78" t="s">
        <v>2</v>
      </c>
      <c r="C39" s="452"/>
      <c r="D39" s="481"/>
      <c r="E39" s="481"/>
      <c r="F39" s="481"/>
      <c r="G39" s="453"/>
      <c r="H39" s="457"/>
      <c r="I39" s="458"/>
      <c r="J39" s="458"/>
      <c r="K39" s="458"/>
      <c r="L39" s="459"/>
    </row>
    <row r="40" spans="2:12" x14ac:dyDescent="0.25">
      <c r="B40" s="78" t="s">
        <v>1</v>
      </c>
      <c r="C40" s="440" t="s">
        <v>216</v>
      </c>
      <c r="D40" s="440"/>
      <c r="E40" s="440"/>
      <c r="F40" s="440"/>
      <c r="G40" s="440"/>
      <c r="H40" s="441" t="s">
        <v>340</v>
      </c>
      <c r="I40" s="442"/>
      <c r="J40" s="442"/>
      <c r="K40" s="442"/>
      <c r="L40" s="443"/>
    </row>
    <row r="41" spans="2:12" x14ac:dyDescent="0.25">
      <c r="B41" s="83" t="s">
        <v>0</v>
      </c>
      <c r="C41" s="444" t="s">
        <v>271</v>
      </c>
      <c r="D41" s="444"/>
      <c r="E41" s="444"/>
      <c r="F41" s="444"/>
      <c r="G41" s="444"/>
      <c r="H41" s="445" t="s">
        <v>32</v>
      </c>
      <c r="I41" s="444"/>
      <c r="J41" s="444"/>
      <c r="K41" s="444"/>
      <c r="L41" s="446"/>
    </row>
  </sheetData>
  <mergeCells count="26">
    <mergeCell ref="B1:L1"/>
    <mergeCell ref="B9:L9"/>
    <mergeCell ref="C11:H11"/>
    <mergeCell ref="C13:G13"/>
    <mergeCell ref="K13:L13"/>
    <mergeCell ref="A5:M5"/>
    <mergeCell ref="A6:M6"/>
    <mergeCell ref="A7:M7"/>
    <mergeCell ref="A8:M8"/>
    <mergeCell ref="A2:M2"/>
    <mergeCell ref="A3:M3"/>
    <mergeCell ref="A4:M4"/>
    <mergeCell ref="C35:L35"/>
    <mergeCell ref="C16:G17"/>
    <mergeCell ref="D18:E18"/>
    <mergeCell ref="F18:G18"/>
    <mergeCell ref="C41:G41"/>
    <mergeCell ref="H41:L41"/>
    <mergeCell ref="C37:G37"/>
    <mergeCell ref="H37:L37"/>
    <mergeCell ref="C38:G39"/>
    <mergeCell ref="H38:L39"/>
    <mergeCell ref="C40:G40"/>
    <mergeCell ref="H40:L40"/>
    <mergeCell ref="D19:E19"/>
    <mergeCell ref="F19:G19"/>
  </mergeCells>
  <pageMargins left="0.23622047244094491" right="0.23622047244094491" top="1.1417322834645669" bottom="0.74803149606299213" header="0.31496062992125984" footer="0.31496062992125984"/>
  <pageSetup paperSize="9" scale="73"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8099-3C0C-45EE-99A9-5C801A1A56C5}">
  <sheetPr>
    <tabColor theme="9"/>
    <pageSetUpPr fitToPage="1"/>
  </sheetPr>
  <dimension ref="B1:L37"/>
  <sheetViews>
    <sheetView view="pageBreakPreview" topLeftCell="A26" zoomScaleNormal="100" zoomScaleSheetLayoutView="100" workbookViewId="0">
      <selection activeCell="L6" sqref="L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547</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545</v>
      </c>
      <c r="D11" s="540"/>
      <c r="E11" s="540"/>
      <c r="F11" s="540"/>
      <c r="G11" s="541"/>
      <c r="H11" s="103"/>
      <c r="I11" s="11"/>
      <c r="J11" s="52"/>
      <c r="L11" s="53"/>
    </row>
    <row r="12" spans="2:12" ht="21.7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3">
      <c r="B14" s="100"/>
      <c r="C14" s="244">
        <v>1</v>
      </c>
      <c r="D14" s="581" t="s">
        <v>143</v>
      </c>
      <c r="E14" s="582"/>
      <c r="F14" s="615" t="s">
        <v>544</v>
      </c>
      <c r="G14" s="584"/>
      <c r="H14" s="154">
        <v>1</v>
      </c>
      <c r="I14" s="293" t="s">
        <v>43</v>
      </c>
      <c r="J14" s="294">
        <v>750</v>
      </c>
      <c r="K14" s="295"/>
      <c r="L14" s="296">
        <f>H14*J14</f>
        <v>750</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106" t="s">
        <v>387</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ht="21.75" customHeight="1" x14ac:dyDescent="0.25">
      <c r="B18" s="100"/>
      <c r="C18" s="106"/>
      <c r="D18" s="218"/>
      <c r="E18" s="218"/>
      <c r="F18" s="221"/>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750</v>
      </c>
    </row>
    <row r="30" spans="2:12" ht="37.15" customHeight="1" x14ac:dyDescent="0.25">
      <c r="B30" s="88" t="s">
        <v>4</v>
      </c>
      <c r="C30" s="534" t="s">
        <v>545</v>
      </c>
      <c r="D30" s="535"/>
      <c r="E30" s="535"/>
      <c r="F30" s="535"/>
      <c r="G30" s="535"/>
      <c r="H30" s="535"/>
      <c r="I30" s="535"/>
      <c r="J30" s="535"/>
      <c r="K30" s="535"/>
      <c r="L30" s="536"/>
    </row>
    <row r="31" spans="2:12" x14ac:dyDescent="0.25">
      <c r="B31" s="136"/>
      <c r="C31" s="137"/>
      <c r="D31" s="138"/>
      <c r="E31" s="138"/>
      <c r="F31" s="138"/>
      <c r="G31" s="138"/>
      <c r="H31" s="138"/>
      <c r="I31" s="138"/>
      <c r="J31" s="138"/>
      <c r="K31" s="138"/>
      <c r="L31" s="141"/>
    </row>
    <row r="32" spans="2:12" x14ac:dyDescent="0.25">
      <c r="B32" s="136"/>
      <c r="C32" s="139"/>
      <c r="D32" s="140"/>
      <c r="E32" s="140"/>
      <c r="F32" s="140"/>
      <c r="G32" s="140"/>
      <c r="H32" s="117"/>
      <c r="I32" s="117"/>
      <c r="J32" s="117"/>
      <c r="K32" s="117"/>
      <c r="L32" s="118"/>
    </row>
    <row r="33" spans="2:12" x14ac:dyDescent="0.25">
      <c r="B33" s="73"/>
      <c r="C33" s="445"/>
      <c r="D33" s="444"/>
      <c r="E33" s="444"/>
      <c r="F33" s="444"/>
      <c r="G33" s="444"/>
      <c r="H33" s="441" t="s">
        <v>3</v>
      </c>
      <c r="I33" s="442"/>
      <c r="J33" s="442"/>
      <c r="K33" s="442"/>
      <c r="L33" s="443"/>
    </row>
    <row r="34" spans="2:12" x14ac:dyDescent="0.25">
      <c r="B34" s="25"/>
      <c r="C34" s="450"/>
      <c r="D34" s="480"/>
      <c r="E34" s="480"/>
      <c r="F34" s="480"/>
      <c r="G34" s="451"/>
      <c r="H34" s="454"/>
      <c r="I34" s="455"/>
      <c r="J34" s="455"/>
      <c r="K34" s="455"/>
      <c r="L34" s="456"/>
    </row>
    <row r="35" spans="2:12" x14ac:dyDescent="0.25">
      <c r="B35" s="78" t="s">
        <v>2</v>
      </c>
      <c r="C35" s="452"/>
      <c r="D35" s="481"/>
      <c r="E35" s="481"/>
      <c r="F35" s="481"/>
      <c r="G35" s="453"/>
      <c r="H35" s="457"/>
      <c r="I35" s="458"/>
      <c r="J35" s="458"/>
      <c r="K35" s="458"/>
      <c r="L35" s="459"/>
    </row>
    <row r="36" spans="2:12" x14ac:dyDescent="0.25">
      <c r="B36" s="78" t="s">
        <v>1</v>
      </c>
      <c r="C36" s="440" t="s">
        <v>541</v>
      </c>
      <c r="D36" s="440"/>
      <c r="E36" s="440"/>
      <c r="F36" s="440"/>
      <c r="G36" s="440"/>
      <c r="H36" s="440" t="s">
        <v>216</v>
      </c>
      <c r="I36" s="440"/>
      <c r="J36" s="440"/>
      <c r="K36" s="440"/>
      <c r="L36" s="440"/>
    </row>
    <row r="37" spans="2:12" x14ac:dyDescent="0.25">
      <c r="B37" s="83" t="s">
        <v>0</v>
      </c>
      <c r="C37" s="444" t="s">
        <v>546</v>
      </c>
      <c r="D37" s="444"/>
      <c r="E37" s="444"/>
      <c r="F37" s="444"/>
      <c r="G37" s="444"/>
      <c r="H37" s="445" t="s">
        <v>522</v>
      </c>
      <c r="I37" s="444"/>
      <c r="J37" s="444"/>
      <c r="K37" s="444"/>
      <c r="L37" s="446"/>
    </row>
  </sheetData>
  <mergeCells count="21">
    <mergeCell ref="C30:L30"/>
    <mergeCell ref="B1:L1"/>
    <mergeCell ref="B2:L2"/>
    <mergeCell ref="B3:L3"/>
    <mergeCell ref="B4:L4"/>
    <mergeCell ref="C6:H6"/>
    <mergeCell ref="C8:G8"/>
    <mergeCell ref="K8:L8"/>
    <mergeCell ref="C11:G12"/>
    <mergeCell ref="D13:E13"/>
    <mergeCell ref="F13:G13"/>
    <mergeCell ref="D14:E14"/>
    <mergeCell ref="F14:G14"/>
    <mergeCell ref="C37:G37"/>
    <mergeCell ref="H37:L37"/>
    <mergeCell ref="C33:G33"/>
    <mergeCell ref="H33:L33"/>
    <mergeCell ref="C34:G35"/>
    <mergeCell ref="H34:L35"/>
    <mergeCell ref="C36:G36"/>
    <mergeCell ref="H36:L36"/>
  </mergeCells>
  <pageMargins left="0.23622047244094491" right="0.23622047244094491" top="1.1417322834645669" bottom="0.74803149606299213" header="0.31496062992125984" footer="0.31496062992125984"/>
  <pageSetup paperSize="9" scale="73"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DEBA-61B7-4CA9-8D6B-1DA444B49E96}">
  <sheetPr>
    <tabColor theme="9"/>
    <pageSetUpPr fitToPage="1"/>
  </sheetPr>
  <dimension ref="B1:L36"/>
  <sheetViews>
    <sheetView view="pageBreakPreview" topLeftCell="A6" zoomScale="85" zoomScaleNormal="100" zoomScaleSheetLayoutView="85" zoomScalePageLayoutView="70" workbookViewId="0">
      <selection activeCell="C16" sqref="C1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443</v>
      </c>
      <c r="J5" s="39"/>
      <c r="K5" s="27"/>
      <c r="L5" s="40" t="s">
        <v>482</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488</v>
      </c>
      <c r="D11" s="540"/>
      <c r="E11" s="540"/>
      <c r="F11" s="540"/>
      <c r="G11" s="541"/>
      <c r="H11" s="103"/>
      <c r="I11" s="11"/>
      <c r="J11" s="52"/>
      <c r="L11" s="53"/>
    </row>
    <row r="12" spans="2:12" ht="13.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3.25" customHeight="1" x14ac:dyDescent="0.25">
      <c r="B14" s="100"/>
      <c r="C14" s="244">
        <v>80</v>
      </c>
      <c r="D14" s="581" t="s">
        <v>127</v>
      </c>
      <c r="E14" s="582"/>
      <c r="F14" s="616" t="s">
        <v>483</v>
      </c>
      <c r="G14" s="617"/>
      <c r="H14" s="154">
        <v>80</v>
      </c>
      <c r="I14" s="245" t="s">
        <v>53</v>
      </c>
      <c r="J14" s="247">
        <v>150</v>
      </c>
      <c r="K14" s="246"/>
      <c r="L14" s="248">
        <f>H14*J14</f>
        <v>12000</v>
      </c>
    </row>
    <row r="15" spans="2:12" ht="31.5" customHeight="1" x14ac:dyDescent="0.25">
      <c r="B15" s="100"/>
      <c r="C15" s="147" t="s">
        <v>40</v>
      </c>
      <c r="D15" s="148"/>
      <c r="E15" s="148"/>
      <c r="F15" s="133"/>
      <c r="G15" s="134"/>
      <c r="H15" s="135"/>
      <c r="I15" s="78"/>
      <c r="J15" s="113"/>
      <c r="K15" s="89"/>
      <c r="L15" s="119"/>
    </row>
    <row r="16" spans="2:12" ht="18" customHeight="1" x14ac:dyDescent="0.25">
      <c r="B16" s="100"/>
      <c r="C16" s="58" t="s">
        <v>386</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534" t="s">
        <v>488</v>
      </c>
      <c r="D29" s="535"/>
      <c r="E29" s="535"/>
      <c r="F29" s="535"/>
      <c r="G29" s="535"/>
      <c r="H29" s="535"/>
      <c r="I29" s="535"/>
      <c r="J29" s="535"/>
      <c r="K29" s="535"/>
      <c r="L29" s="536"/>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45"/>
      <c r="D32" s="444"/>
      <c r="E32" s="444"/>
      <c r="F32" s="444"/>
      <c r="G32" s="444"/>
      <c r="H32" s="441" t="s">
        <v>3</v>
      </c>
      <c r="I32" s="442"/>
      <c r="J32" s="442"/>
      <c r="K32" s="442"/>
      <c r="L32" s="443"/>
    </row>
    <row r="33" spans="2:12" x14ac:dyDescent="0.25">
      <c r="B33" s="25"/>
      <c r="C33" s="450"/>
      <c r="D33" s="480"/>
      <c r="E33" s="480"/>
      <c r="F33" s="480"/>
      <c r="G33" s="451"/>
      <c r="H33" s="454"/>
      <c r="I33" s="455"/>
      <c r="J33" s="455"/>
      <c r="K33" s="455"/>
      <c r="L33" s="456"/>
    </row>
    <row r="34" spans="2:12" x14ac:dyDescent="0.25">
      <c r="B34" s="78" t="s">
        <v>2</v>
      </c>
      <c r="C34" s="452"/>
      <c r="D34" s="481"/>
      <c r="E34" s="481"/>
      <c r="F34" s="481"/>
      <c r="G34" s="453"/>
      <c r="H34" s="457"/>
      <c r="I34" s="458"/>
      <c r="J34" s="458"/>
      <c r="K34" s="458"/>
      <c r="L34" s="459"/>
    </row>
    <row r="35" spans="2:12" x14ac:dyDescent="0.25">
      <c r="B35" s="78" t="s">
        <v>1</v>
      </c>
      <c r="C35" s="440" t="s">
        <v>216</v>
      </c>
      <c r="D35" s="440"/>
      <c r="E35" s="440"/>
      <c r="F35" s="440"/>
      <c r="G35" s="440"/>
      <c r="H35" s="441" t="s">
        <v>380</v>
      </c>
      <c r="I35" s="442"/>
      <c r="J35" s="442"/>
      <c r="K35" s="442"/>
      <c r="L35" s="443"/>
    </row>
    <row r="36" spans="2:12" x14ac:dyDescent="0.25">
      <c r="B36" s="83" t="s">
        <v>0</v>
      </c>
      <c r="C36" s="444" t="s">
        <v>217</v>
      </c>
      <c r="D36" s="444"/>
      <c r="E36" s="444"/>
      <c r="F36" s="444"/>
      <c r="G36" s="444"/>
      <c r="H36" s="445" t="s">
        <v>32</v>
      </c>
      <c r="I36" s="444"/>
      <c r="J36" s="444"/>
      <c r="K36" s="444"/>
      <c r="L36" s="446"/>
    </row>
  </sheetData>
  <mergeCells count="21">
    <mergeCell ref="C29:L29"/>
    <mergeCell ref="B1:L1"/>
    <mergeCell ref="B2:L2"/>
    <mergeCell ref="B3:L3"/>
    <mergeCell ref="B4:L4"/>
    <mergeCell ref="C6:H6"/>
    <mergeCell ref="C8:G8"/>
    <mergeCell ref="K8:L8"/>
    <mergeCell ref="C11:G12"/>
    <mergeCell ref="D13:E13"/>
    <mergeCell ref="F13:G13"/>
    <mergeCell ref="D14:E14"/>
    <mergeCell ref="F14:G14"/>
    <mergeCell ref="C36:G36"/>
    <mergeCell ref="H36:L36"/>
    <mergeCell ref="C32:G32"/>
    <mergeCell ref="H32:L32"/>
    <mergeCell ref="C33:G34"/>
    <mergeCell ref="H33:L34"/>
    <mergeCell ref="C35:G35"/>
    <mergeCell ref="H35:L35"/>
  </mergeCells>
  <pageMargins left="0.23622047244094491" right="0.23622047244094491" top="1.1417322834645669" bottom="0.74803149606299213" header="0.31496062992125984" footer="0.31496062992125984"/>
  <pageSetup paperSize="9" scale="69"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DCBE-4551-4A37-AB0C-3DDB2810A458}">
  <sheetPr>
    <tabColor theme="9"/>
    <pageSetUpPr fitToPage="1"/>
  </sheetPr>
  <dimension ref="B1:L36"/>
  <sheetViews>
    <sheetView view="pageBreakPreview" zoomScale="70" zoomScaleNormal="100" zoomScaleSheetLayoutView="70" workbookViewId="0">
      <selection activeCell="C33" sqref="C33:G34"/>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382</v>
      </c>
      <c r="J5" s="39"/>
      <c r="K5" s="27"/>
      <c r="L5" s="40" t="s">
        <v>383</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384</v>
      </c>
      <c r="D11" s="540"/>
      <c r="E11" s="540"/>
      <c r="F11" s="540"/>
      <c r="G11" s="541"/>
      <c r="H11" s="103"/>
      <c r="I11" s="11"/>
      <c r="J11" s="52"/>
      <c r="L11" s="53"/>
    </row>
    <row r="12" spans="2:12" ht="13.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3.25" customHeight="1" x14ac:dyDescent="0.25">
      <c r="B14" s="100"/>
      <c r="C14" s="244">
        <v>80</v>
      </c>
      <c r="D14" s="581" t="s">
        <v>127</v>
      </c>
      <c r="E14" s="582"/>
      <c r="F14" s="616" t="s">
        <v>385</v>
      </c>
      <c r="G14" s="617"/>
      <c r="H14" s="154">
        <v>80</v>
      </c>
      <c r="I14" s="245" t="s">
        <v>53</v>
      </c>
      <c r="J14" s="247">
        <v>150</v>
      </c>
      <c r="K14" s="246"/>
      <c r="L14" s="248">
        <f>H14*J14</f>
        <v>12000</v>
      </c>
    </row>
    <row r="15" spans="2:12" ht="31.5" customHeight="1" x14ac:dyDescent="0.25">
      <c r="B15" s="100"/>
      <c r="C15" s="147" t="s">
        <v>40</v>
      </c>
      <c r="D15" s="148"/>
      <c r="E15" s="148"/>
      <c r="F15" s="133"/>
      <c r="G15" s="134"/>
      <c r="H15" s="135"/>
      <c r="I15" s="78"/>
      <c r="J15" s="113"/>
      <c r="K15" s="89"/>
      <c r="L15" s="119"/>
    </row>
    <row r="16" spans="2:12" ht="18" customHeight="1" x14ac:dyDescent="0.25">
      <c r="B16" s="100"/>
      <c r="C16" s="58" t="s">
        <v>386</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534" t="s">
        <v>384</v>
      </c>
      <c r="D29" s="535"/>
      <c r="E29" s="535"/>
      <c r="F29" s="535"/>
      <c r="G29" s="535"/>
      <c r="H29" s="535"/>
      <c r="I29" s="535"/>
      <c r="J29" s="535"/>
      <c r="K29" s="535"/>
      <c r="L29" s="536"/>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45"/>
      <c r="D32" s="444"/>
      <c r="E32" s="444"/>
      <c r="F32" s="444"/>
      <c r="G32" s="444"/>
      <c r="H32" s="441" t="s">
        <v>3</v>
      </c>
      <c r="I32" s="442"/>
      <c r="J32" s="442"/>
      <c r="K32" s="442"/>
      <c r="L32" s="443"/>
    </row>
    <row r="33" spans="2:12" x14ac:dyDescent="0.25">
      <c r="B33" s="25"/>
      <c r="C33" s="450"/>
      <c r="D33" s="480"/>
      <c r="E33" s="480"/>
      <c r="F33" s="480"/>
      <c r="G33" s="451"/>
      <c r="H33" s="454"/>
      <c r="I33" s="455"/>
      <c r="J33" s="455"/>
      <c r="K33" s="455"/>
      <c r="L33" s="456"/>
    </row>
    <row r="34" spans="2:12" x14ac:dyDescent="0.25">
      <c r="B34" s="78" t="s">
        <v>2</v>
      </c>
      <c r="C34" s="452"/>
      <c r="D34" s="481"/>
      <c r="E34" s="481"/>
      <c r="F34" s="481"/>
      <c r="G34" s="453"/>
      <c r="H34" s="457"/>
      <c r="I34" s="458"/>
      <c r="J34" s="458"/>
      <c r="K34" s="458"/>
      <c r="L34" s="459"/>
    </row>
    <row r="35" spans="2:12" x14ac:dyDescent="0.25">
      <c r="B35" s="78" t="s">
        <v>1</v>
      </c>
      <c r="C35" s="440" t="s">
        <v>216</v>
      </c>
      <c r="D35" s="440"/>
      <c r="E35" s="440"/>
      <c r="F35" s="440"/>
      <c r="G35" s="440"/>
      <c r="H35" s="441" t="s">
        <v>380</v>
      </c>
      <c r="I35" s="442"/>
      <c r="J35" s="442"/>
      <c r="K35" s="442"/>
      <c r="L35" s="443"/>
    </row>
    <row r="36" spans="2:12" x14ac:dyDescent="0.25">
      <c r="B36" s="83" t="s">
        <v>0</v>
      </c>
      <c r="C36" s="444" t="s">
        <v>217</v>
      </c>
      <c r="D36" s="444"/>
      <c r="E36" s="444"/>
      <c r="F36" s="444"/>
      <c r="G36" s="444"/>
      <c r="H36" s="445" t="s">
        <v>32</v>
      </c>
      <c r="I36" s="444"/>
      <c r="J36" s="444"/>
      <c r="K36" s="444"/>
      <c r="L36" s="446"/>
    </row>
  </sheetData>
  <mergeCells count="21">
    <mergeCell ref="C29:L29"/>
    <mergeCell ref="B1:L1"/>
    <mergeCell ref="B2:L2"/>
    <mergeCell ref="B3:L3"/>
    <mergeCell ref="B4:L4"/>
    <mergeCell ref="C6:H6"/>
    <mergeCell ref="C8:G8"/>
    <mergeCell ref="K8:L8"/>
    <mergeCell ref="C11:G12"/>
    <mergeCell ref="D13:E13"/>
    <mergeCell ref="F13:G13"/>
    <mergeCell ref="D14:E14"/>
    <mergeCell ref="F14:G14"/>
    <mergeCell ref="C36:G36"/>
    <mergeCell ref="H36:L36"/>
    <mergeCell ref="C32:G32"/>
    <mergeCell ref="H32:L32"/>
    <mergeCell ref="C33:G34"/>
    <mergeCell ref="H33:L34"/>
    <mergeCell ref="C35:G35"/>
    <mergeCell ref="H35:L35"/>
  </mergeCells>
  <pageMargins left="0.23622047244094491" right="0.23622047244094491" top="1.1417322834645669" bottom="0.74803149606299213" header="0.31496062992125984" footer="0.31496062992125984"/>
  <pageSetup paperSize="9" scale="73"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2609-5F05-4C2D-A2FD-56830DC5828D}">
  <sheetPr>
    <tabColor theme="9"/>
    <pageSetUpPr fitToPage="1"/>
  </sheetPr>
  <dimension ref="B1:R67"/>
  <sheetViews>
    <sheetView view="pageBreakPreview" zoomScale="70" zoomScaleNormal="100" zoomScaleSheetLayoutView="70" workbookViewId="0">
      <selection activeCell="G5" sqref="G5"/>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398</v>
      </c>
      <c r="L4" s="28"/>
      <c r="M4" s="29"/>
      <c r="N4" s="26" t="s">
        <v>507</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ht="39" customHeight="1" x14ac:dyDescent="0.25">
      <c r="B8" s="277"/>
      <c r="C8" s="278"/>
      <c r="D8" s="92"/>
      <c r="E8" s="92"/>
      <c r="F8" s="92"/>
      <c r="G8" s="92"/>
      <c r="H8" s="92"/>
      <c r="I8" s="92"/>
      <c r="J8" s="33"/>
      <c r="K8" s="16"/>
      <c r="L8" s="17"/>
      <c r="M8" s="16"/>
      <c r="N8" s="15"/>
    </row>
    <row r="9" spans="2:18" x14ac:dyDescent="0.25">
      <c r="B9" s="78"/>
      <c r="C9" s="523" t="s">
        <v>504</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17.2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410</v>
      </c>
      <c r="D13" s="564"/>
      <c r="E13" s="564"/>
      <c r="F13" s="564"/>
      <c r="G13" s="564"/>
      <c r="H13" s="564"/>
      <c r="I13" s="439"/>
      <c r="J13" s="279"/>
      <c r="K13" s="25"/>
      <c r="L13" s="79"/>
      <c r="M13" s="25"/>
      <c r="N13" s="80"/>
    </row>
    <row r="14" spans="2:18" ht="15.75" customHeight="1" x14ac:dyDescent="0.25">
      <c r="B14" s="78"/>
      <c r="C14" s="438" t="s">
        <v>505</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33" customHeight="1" x14ac:dyDescent="0.25">
      <c r="B17" s="78"/>
      <c r="C17" s="256" t="s">
        <v>15</v>
      </c>
      <c r="D17" s="256" t="s">
        <v>14</v>
      </c>
      <c r="E17" s="256" t="s">
        <v>13</v>
      </c>
      <c r="F17" s="256" t="s">
        <v>12</v>
      </c>
      <c r="G17" s="469" t="s">
        <v>11</v>
      </c>
      <c r="H17" s="469"/>
      <c r="I17" s="231" t="s">
        <v>10</v>
      </c>
      <c r="J17" s="36"/>
      <c r="K17" s="25"/>
      <c r="L17" s="79"/>
      <c r="M17" s="25"/>
      <c r="N17" s="80"/>
    </row>
    <row r="18" spans="2:14" ht="52.9" customHeight="1" x14ac:dyDescent="0.25">
      <c r="B18" s="78"/>
      <c r="C18" s="494">
        <v>80</v>
      </c>
      <c r="D18" s="220" t="s">
        <v>51</v>
      </c>
      <c r="E18" s="220" t="s">
        <v>145</v>
      </c>
      <c r="F18" s="282" t="s">
        <v>506</v>
      </c>
      <c r="G18" s="506" t="s">
        <v>391</v>
      </c>
      <c r="H18" s="506"/>
      <c r="I18" s="283"/>
      <c r="J18" s="219">
        <v>80</v>
      </c>
      <c r="K18" s="25"/>
      <c r="L18" s="98">
        <v>200</v>
      </c>
      <c r="M18" s="25"/>
      <c r="N18" s="82">
        <f>J18*L18</f>
        <v>16000</v>
      </c>
    </row>
    <row r="19" spans="2:14" ht="107.45" customHeight="1" x14ac:dyDescent="0.25">
      <c r="B19" s="78"/>
      <c r="C19" s="495"/>
      <c r="D19" s="220" t="s">
        <v>9</v>
      </c>
      <c r="E19" s="220" t="s">
        <v>147</v>
      </c>
      <c r="F19" s="282" t="s">
        <v>506</v>
      </c>
      <c r="G19" s="506" t="s">
        <v>390</v>
      </c>
      <c r="H19" s="506"/>
      <c r="I19" s="283"/>
      <c r="J19" s="219">
        <v>80</v>
      </c>
      <c r="K19" s="25"/>
      <c r="L19" s="81">
        <v>400</v>
      </c>
      <c r="M19" s="25"/>
      <c r="N19" s="82">
        <f t="shared" ref="N19:N20" si="0">J19*L19</f>
        <v>32000</v>
      </c>
    </row>
    <row r="20" spans="2:14" ht="46.5" customHeight="1" x14ac:dyDescent="0.25">
      <c r="B20" s="78"/>
      <c r="C20" s="495"/>
      <c r="D20" s="220" t="s">
        <v>133</v>
      </c>
      <c r="E20" s="220" t="s">
        <v>145</v>
      </c>
      <c r="F20" s="282" t="s">
        <v>506</v>
      </c>
      <c r="G20" s="506" t="s">
        <v>392</v>
      </c>
      <c r="H20" s="506"/>
      <c r="I20" s="283"/>
      <c r="J20" s="219">
        <v>80</v>
      </c>
      <c r="K20" s="25"/>
      <c r="L20" s="98">
        <v>200</v>
      </c>
      <c r="M20" s="25"/>
      <c r="N20" s="82">
        <f t="shared" si="0"/>
        <v>16000</v>
      </c>
    </row>
    <row r="21" spans="2:14" ht="18" customHeight="1" x14ac:dyDescent="0.25">
      <c r="B21" s="78"/>
      <c r="C21" s="529"/>
      <c r="D21" s="530"/>
      <c r="E21" s="530"/>
      <c r="F21" s="530"/>
      <c r="G21" s="530"/>
      <c r="H21" s="530"/>
      <c r="I21" s="473"/>
      <c r="J21" s="257"/>
      <c r="K21" s="24"/>
      <c r="L21" s="79"/>
      <c r="M21" s="25"/>
      <c r="N21" s="80"/>
    </row>
    <row r="22" spans="2:14" x14ac:dyDescent="0.25">
      <c r="B22" s="78"/>
      <c r="C22" s="523" t="s">
        <v>494</v>
      </c>
      <c r="D22" s="524"/>
      <c r="E22" s="524"/>
      <c r="F22" s="524"/>
      <c r="G22" s="524"/>
      <c r="H22" s="524"/>
      <c r="I22" s="525"/>
      <c r="J22" s="34"/>
      <c r="K22" s="25"/>
      <c r="L22" s="79"/>
      <c r="M22" s="25"/>
      <c r="N22" s="80"/>
    </row>
    <row r="23" spans="2:14" ht="15.75" customHeight="1" x14ac:dyDescent="0.25">
      <c r="B23" s="78"/>
      <c r="C23" s="523"/>
      <c r="D23" s="524"/>
      <c r="E23" s="524"/>
      <c r="F23" s="524"/>
      <c r="G23" s="524"/>
      <c r="H23" s="524"/>
      <c r="I23" s="525"/>
      <c r="J23" s="34"/>
      <c r="K23" s="25"/>
      <c r="L23" s="79"/>
      <c r="M23" s="25"/>
      <c r="N23" s="80"/>
    </row>
    <row r="24" spans="2:14" ht="17.25" customHeight="1" x14ac:dyDescent="0.25">
      <c r="B24" s="78"/>
      <c r="C24" s="562"/>
      <c r="D24" s="527"/>
      <c r="E24" s="527"/>
      <c r="F24" s="527"/>
      <c r="G24" s="527"/>
      <c r="H24" s="255"/>
      <c r="I24" s="14"/>
      <c r="J24" s="35"/>
      <c r="K24" s="25"/>
      <c r="L24" s="79"/>
      <c r="M24" s="25"/>
      <c r="N24" s="80"/>
    </row>
    <row r="25" spans="2:14" ht="15.75" customHeight="1" x14ac:dyDescent="0.25">
      <c r="B25" s="78"/>
      <c r="C25" s="527" t="s">
        <v>97</v>
      </c>
      <c r="D25" s="527"/>
      <c r="E25" s="527"/>
      <c r="F25" s="527"/>
      <c r="G25" s="527"/>
      <c r="H25" s="255"/>
      <c r="I25" s="14"/>
      <c r="J25" s="35"/>
      <c r="K25" s="25"/>
      <c r="L25" s="79"/>
      <c r="M25" s="25"/>
      <c r="N25" s="80"/>
    </row>
    <row r="26" spans="2:14" ht="15.75" customHeight="1" x14ac:dyDescent="0.25">
      <c r="B26" s="78"/>
      <c r="C26" s="438" t="s">
        <v>410</v>
      </c>
      <c r="D26" s="564"/>
      <c r="E26" s="564"/>
      <c r="F26" s="564"/>
      <c r="G26" s="564"/>
      <c r="H26" s="564"/>
      <c r="I26" s="439"/>
      <c r="J26" s="279"/>
      <c r="K26" s="25"/>
      <c r="L26" s="79"/>
      <c r="M26" s="25"/>
      <c r="N26" s="80"/>
    </row>
    <row r="27" spans="2:14" ht="15.75" customHeight="1" x14ac:dyDescent="0.25">
      <c r="B27" s="78"/>
      <c r="C27" s="438" t="s">
        <v>492</v>
      </c>
      <c r="D27" s="564"/>
      <c r="E27" s="564"/>
      <c r="F27" s="564"/>
      <c r="G27" s="564"/>
      <c r="H27" s="564"/>
      <c r="I27" s="439"/>
      <c r="J27" s="279"/>
      <c r="K27" s="25"/>
      <c r="L27" s="79"/>
      <c r="M27" s="25"/>
      <c r="N27" s="80"/>
    </row>
    <row r="28" spans="2:14" ht="15.75" customHeight="1" x14ac:dyDescent="0.25">
      <c r="B28" s="78"/>
      <c r="C28" s="527"/>
      <c r="D28" s="527"/>
      <c r="E28" s="527"/>
      <c r="F28" s="527"/>
      <c r="G28" s="527"/>
      <c r="H28" s="255"/>
      <c r="I28" s="14"/>
      <c r="J28" s="35"/>
      <c r="K28" s="25"/>
      <c r="L28" s="79"/>
      <c r="M28" s="25"/>
      <c r="N28" s="80"/>
    </row>
    <row r="29" spans="2:14" x14ac:dyDescent="0.25">
      <c r="B29" s="78"/>
      <c r="C29" s="565" t="s">
        <v>16</v>
      </c>
      <c r="D29" s="566"/>
      <c r="E29" s="566"/>
      <c r="F29" s="566"/>
      <c r="G29" s="566"/>
      <c r="H29" s="251"/>
      <c r="I29" s="281"/>
      <c r="J29" s="37"/>
      <c r="K29" s="25"/>
      <c r="L29" s="79"/>
      <c r="M29" s="25"/>
      <c r="N29" s="80"/>
    </row>
    <row r="30" spans="2:14" ht="33" customHeight="1" x14ac:dyDescent="0.25">
      <c r="B30" s="78"/>
      <c r="C30" s="256" t="s">
        <v>15</v>
      </c>
      <c r="D30" s="256" t="s">
        <v>14</v>
      </c>
      <c r="E30" s="256" t="s">
        <v>13</v>
      </c>
      <c r="F30" s="256" t="s">
        <v>12</v>
      </c>
      <c r="G30" s="469" t="s">
        <v>11</v>
      </c>
      <c r="H30" s="469"/>
      <c r="I30" s="231" t="s">
        <v>10</v>
      </c>
      <c r="J30" s="36"/>
      <c r="K30" s="25"/>
      <c r="L30" s="79"/>
      <c r="M30" s="25"/>
      <c r="N30" s="80"/>
    </row>
    <row r="31" spans="2:14" ht="52.9" customHeight="1" x14ac:dyDescent="0.25">
      <c r="B31" s="78"/>
      <c r="C31" s="494">
        <v>80</v>
      </c>
      <c r="D31" s="220" t="s">
        <v>51</v>
      </c>
      <c r="E31" s="220" t="s">
        <v>145</v>
      </c>
      <c r="F31" s="282" t="s">
        <v>493</v>
      </c>
      <c r="G31" s="506" t="s">
        <v>391</v>
      </c>
      <c r="H31" s="506"/>
      <c r="I31" s="283"/>
      <c r="J31" s="219">
        <v>80</v>
      </c>
      <c r="K31" s="25"/>
      <c r="L31" s="98">
        <v>200</v>
      </c>
      <c r="M31" s="25"/>
      <c r="N31" s="82">
        <f>J31*L31</f>
        <v>16000</v>
      </c>
    </row>
    <row r="32" spans="2:14" ht="107.45" customHeight="1" x14ac:dyDescent="0.25">
      <c r="B32" s="78"/>
      <c r="C32" s="495"/>
      <c r="D32" s="220" t="s">
        <v>9</v>
      </c>
      <c r="E32" s="220" t="s">
        <v>147</v>
      </c>
      <c r="F32" s="282" t="s">
        <v>493</v>
      </c>
      <c r="G32" s="506" t="s">
        <v>390</v>
      </c>
      <c r="H32" s="506"/>
      <c r="I32" s="283"/>
      <c r="J32" s="219">
        <v>80</v>
      </c>
      <c r="K32" s="25"/>
      <c r="L32" s="81">
        <v>400</v>
      </c>
      <c r="M32" s="25"/>
      <c r="N32" s="82">
        <f t="shared" ref="N32:N33" si="1">J32*L32</f>
        <v>32000</v>
      </c>
    </row>
    <row r="33" spans="2:14" ht="46.5" customHeight="1" x14ac:dyDescent="0.25">
      <c r="B33" s="78"/>
      <c r="C33" s="496"/>
      <c r="D33" s="220" t="s">
        <v>133</v>
      </c>
      <c r="E33" s="220" t="s">
        <v>145</v>
      </c>
      <c r="F33" s="282" t="s">
        <v>493</v>
      </c>
      <c r="G33" s="506" t="s">
        <v>392</v>
      </c>
      <c r="H33" s="506"/>
      <c r="I33" s="283"/>
      <c r="J33" s="219">
        <v>80</v>
      </c>
      <c r="K33" s="25"/>
      <c r="L33" s="98">
        <v>200</v>
      </c>
      <c r="M33" s="25"/>
      <c r="N33" s="82">
        <f t="shared" si="1"/>
        <v>16000</v>
      </c>
    </row>
    <row r="34" spans="2:14" ht="15.75" customHeight="1" x14ac:dyDescent="0.25">
      <c r="B34" s="78"/>
      <c r="C34" s="221"/>
      <c r="D34" s="221"/>
      <c r="E34" s="221"/>
      <c r="F34" s="221"/>
      <c r="G34" s="221"/>
      <c r="H34" s="221"/>
      <c r="I34" s="135"/>
      <c r="J34" s="135"/>
      <c r="K34" s="24"/>
      <c r="L34" s="79"/>
      <c r="M34" s="25"/>
      <c r="N34" s="80"/>
    </row>
    <row r="35" spans="2:14" ht="15.75" customHeight="1" x14ac:dyDescent="0.25">
      <c r="B35" s="78"/>
      <c r="C35" s="591" t="s">
        <v>151</v>
      </c>
      <c r="D35" s="592"/>
      <c r="E35" s="592"/>
      <c r="F35" s="592"/>
      <c r="G35" s="592"/>
      <c r="H35" s="592"/>
      <c r="I35" s="596"/>
      <c r="J35" s="135"/>
      <c r="K35" s="25"/>
      <c r="L35" s="79"/>
      <c r="M35" s="25"/>
      <c r="N35" s="80"/>
    </row>
    <row r="36" spans="2:14" ht="15" customHeight="1" x14ac:dyDescent="0.25">
      <c r="B36" s="78"/>
      <c r="C36" s="338" t="s">
        <v>419</v>
      </c>
      <c r="D36"/>
      <c r="E36"/>
      <c r="F36"/>
      <c r="G36" s="339"/>
      <c r="H36" s="339"/>
      <c r="I36" s="340"/>
      <c r="J36" s="314"/>
      <c r="K36" s="25"/>
      <c r="L36" s="79"/>
      <c r="M36" s="25"/>
      <c r="N36" s="80"/>
    </row>
    <row r="37" spans="2:14" ht="15.75" customHeight="1" x14ac:dyDescent="0.25">
      <c r="B37" s="78"/>
      <c r="C37" s="341" t="s">
        <v>420</v>
      </c>
      <c r="D37"/>
      <c r="E37"/>
      <c r="F37"/>
      <c r="G37" s="339"/>
      <c r="H37" s="339"/>
      <c r="I37" s="340"/>
      <c r="J37" s="252"/>
      <c r="K37" s="25"/>
      <c r="L37" s="79"/>
      <c r="M37" s="25"/>
      <c r="N37" s="80"/>
    </row>
    <row r="38" spans="2:14" ht="15.75" customHeight="1" x14ac:dyDescent="0.25">
      <c r="B38" s="78"/>
      <c r="C38" s="341" t="s">
        <v>160</v>
      </c>
      <c r="D38"/>
      <c r="E38"/>
      <c r="F38"/>
      <c r="G38" s="339"/>
      <c r="H38" s="339"/>
      <c r="I38" s="340"/>
      <c r="J38" s="314"/>
      <c r="K38" s="25"/>
      <c r="L38" s="79"/>
      <c r="M38" s="25"/>
      <c r="N38" s="80"/>
    </row>
    <row r="39" spans="2:14" ht="15.75" customHeight="1" x14ac:dyDescent="0.25">
      <c r="B39" s="78"/>
      <c r="C39" s="341" t="s">
        <v>421</v>
      </c>
      <c r="D39"/>
      <c r="E39"/>
      <c r="F39"/>
      <c r="G39" s="339"/>
      <c r="H39" s="339"/>
      <c r="I39" s="340"/>
      <c r="J39" s="314"/>
      <c r="K39" s="25"/>
      <c r="L39" s="79"/>
      <c r="M39" s="25"/>
      <c r="N39" s="80"/>
    </row>
    <row r="40" spans="2:14" ht="15.75" customHeight="1" x14ac:dyDescent="0.25">
      <c r="B40" s="78"/>
      <c r="C40" s="593" t="s">
        <v>422</v>
      </c>
      <c r="D40" s="594"/>
      <c r="E40" s="594"/>
      <c r="F40" s="594"/>
      <c r="G40" s="594"/>
      <c r="H40" s="594"/>
      <c r="I40" s="595"/>
      <c r="J40" s="94"/>
      <c r="K40" s="25"/>
      <c r="L40" s="79"/>
      <c r="M40" s="25"/>
      <c r="N40" s="80"/>
    </row>
    <row r="41" spans="2:14" ht="15.75" customHeight="1" x14ac:dyDescent="0.25">
      <c r="B41" s="78"/>
      <c r="C41" s="593" t="s">
        <v>153</v>
      </c>
      <c r="D41" s="594"/>
      <c r="E41" s="594"/>
      <c r="F41" s="594"/>
      <c r="G41" s="594"/>
      <c r="H41" s="594"/>
      <c r="I41" s="595"/>
      <c r="J41" s="315"/>
      <c r="K41" s="25"/>
      <c r="L41" s="79"/>
      <c r="M41" s="25"/>
      <c r="N41" s="80"/>
    </row>
    <row r="42" spans="2:14" ht="15.75" customHeight="1" x14ac:dyDescent="0.25">
      <c r="B42" s="78"/>
      <c r="C42" s="342"/>
      <c r="D42" s="343"/>
      <c r="E42" s="343"/>
      <c r="F42" s="343"/>
      <c r="G42" s="343"/>
      <c r="H42" s="343"/>
      <c r="I42" s="344"/>
      <c r="J42" s="315"/>
      <c r="K42" s="25"/>
      <c r="L42" s="79"/>
      <c r="M42" s="25"/>
      <c r="N42" s="80"/>
    </row>
    <row r="43" spans="2:14" ht="15.75" customHeight="1" x14ac:dyDescent="0.25">
      <c r="B43" s="78"/>
      <c r="C43" s="591" t="s">
        <v>155</v>
      </c>
      <c r="D43" s="592"/>
      <c r="E43" s="592"/>
      <c r="F43" s="592"/>
      <c r="G43" s="592"/>
      <c r="H43" s="592"/>
      <c r="I43" s="596"/>
      <c r="J43" s="315"/>
      <c r="K43" s="25"/>
      <c r="L43" s="79"/>
      <c r="M43" s="25"/>
      <c r="N43" s="80"/>
    </row>
    <row r="44" spans="2:14" ht="15.75" customHeight="1" x14ac:dyDescent="0.25">
      <c r="B44" s="78"/>
      <c r="C44" s="588" t="s">
        <v>423</v>
      </c>
      <c r="D44" s="589"/>
      <c r="E44" s="589"/>
      <c r="F44" s="589"/>
      <c r="G44" s="589"/>
      <c r="H44" s="589"/>
      <c r="I44" s="590"/>
      <c r="J44" s="315"/>
      <c r="K44" s="25"/>
      <c r="L44" s="79"/>
      <c r="M44" s="25"/>
      <c r="N44" s="80"/>
    </row>
    <row r="45" spans="2:14" ht="15.75" customHeight="1" x14ac:dyDescent="0.25">
      <c r="B45" s="78"/>
      <c r="C45" s="593" t="s">
        <v>156</v>
      </c>
      <c r="D45" s="594"/>
      <c r="E45" s="594"/>
      <c r="F45" s="594"/>
      <c r="G45" s="594"/>
      <c r="H45" s="594"/>
      <c r="I45" s="595"/>
      <c r="J45" s="315"/>
      <c r="K45" s="25"/>
      <c r="L45" s="79"/>
      <c r="M45" s="25"/>
      <c r="N45" s="80"/>
    </row>
    <row r="46" spans="2:14" ht="15.75" customHeight="1" x14ac:dyDescent="0.25">
      <c r="B46" s="78"/>
      <c r="C46" s="588" t="s">
        <v>157</v>
      </c>
      <c r="D46" s="589"/>
      <c r="E46" s="589"/>
      <c r="F46" s="589"/>
      <c r="G46" s="589"/>
      <c r="H46" s="589"/>
      <c r="I46" s="590"/>
      <c r="J46" s="315"/>
      <c r="K46" s="25"/>
      <c r="L46" s="79"/>
      <c r="M46" s="25"/>
      <c r="N46" s="80"/>
    </row>
    <row r="47" spans="2:14" ht="15.75" customHeight="1" x14ac:dyDescent="0.25">
      <c r="B47" s="78"/>
      <c r="C47" s="588" t="s">
        <v>158</v>
      </c>
      <c r="D47" s="589"/>
      <c r="E47" s="589"/>
      <c r="F47" s="589"/>
      <c r="G47" s="589"/>
      <c r="H47" s="589"/>
      <c r="I47" s="590"/>
      <c r="J47" s="315"/>
      <c r="K47" s="25"/>
      <c r="L47" s="79"/>
      <c r="M47" s="25"/>
      <c r="N47" s="80"/>
    </row>
    <row r="48" spans="2:14" ht="15.75" customHeight="1" x14ac:dyDescent="0.25">
      <c r="B48" s="78"/>
      <c r="C48" s="588"/>
      <c r="D48" s="589"/>
      <c r="E48" s="589"/>
      <c r="F48" s="589"/>
      <c r="G48" s="589"/>
      <c r="H48" s="589"/>
      <c r="I48" s="590"/>
      <c r="J48" s="315"/>
      <c r="K48" s="25"/>
      <c r="L48" s="79"/>
      <c r="M48" s="25"/>
      <c r="N48" s="80"/>
    </row>
    <row r="49" spans="2:15" ht="15.75" customHeight="1" x14ac:dyDescent="0.25">
      <c r="B49" s="78"/>
      <c r="C49" s="588" t="s">
        <v>424</v>
      </c>
      <c r="D49" s="589"/>
      <c r="E49" s="589"/>
      <c r="F49" s="589"/>
      <c r="G49" s="589"/>
      <c r="H49" s="589"/>
      <c r="I49" s="590"/>
      <c r="J49" s="315"/>
      <c r="K49" s="25"/>
      <c r="L49" s="79"/>
      <c r="M49" s="25"/>
      <c r="N49" s="80"/>
    </row>
    <row r="50" spans="2:15" ht="15.75" customHeight="1" x14ac:dyDescent="0.25">
      <c r="B50" s="78"/>
      <c r="C50" s="567"/>
      <c r="D50" s="568"/>
      <c r="E50" s="568"/>
      <c r="F50" s="568"/>
      <c r="G50" s="568"/>
      <c r="H50" s="568"/>
      <c r="I50" s="569"/>
      <c r="J50" s="315"/>
      <c r="K50" s="25"/>
      <c r="L50" s="79"/>
      <c r="M50" s="25"/>
      <c r="N50" s="80"/>
    </row>
    <row r="51" spans="2:15" ht="15.75" customHeight="1" x14ac:dyDescent="0.25">
      <c r="B51" s="78"/>
      <c r="C51" s="591" t="s">
        <v>162</v>
      </c>
      <c r="D51" s="592"/>
      <c r="E51" s="592"/>
      <c r="F51" s="592"/>
      <c r="G51" s="592"/>
      <c r="H51" s="339"/>
      <c r="I51" s="347"/>
      <c r="J51" s="315"/>
      <c r="K51" s="25"/>
      <c r="L51" s="79"/>
      <c r="M51" s="25"/>
      <c r="N51" s="80"/>
    </row>
    <row r="52" spans="2:15" ht="15.75" customHeight="1" x14ac:dyDescent="0.25">
      <c r="B52" s="78"/>
      <c r="C52" s="593" t="s">
        <v>163</v>
      </c>
      <c r="D52" s="594"/>
      <c r="E52" s="594"/>
      <c r="F52" s="594"/>
      <c r="G52" s="594"/>
      <c r="H52" s="343"/>
      <c r="I52" s="345"/>
      <c r="J52" s="315"/>
      <c r="K52" s="25"/>
      <c r="L52" s="79"/>
      <c r="M52" s="25"/>
      <c r="N52" s="80"/>
    </row>
    <row r="53" spans="2:15" ht="15.75" customHeight="1" x14ac:dyDescent="0.25">
      <c r="B53" s="78"/>
      <c r="C53" s="593" t="s">
        <v>425</v>
      </c>
      <c r="D53" s="594"/>
      <c r="E53" s="594"/>
      <c r="F53" s="594"/>
      <c r="G53" s="594"/>
      <c r="H53" s="343"/>
      <c r="I53" s="345"/>
      <c r="J53" s="315"/>
      <c r="K53" s="25"/>
      <c r="L53" s="79"/>
      <c r="M53" s="25"/>
      <c r="N53" s="80"/>
    </row>
    <row r="54" spans="2:15" ht="15.6" customHeight="1" x14ac:dyDescent="0.25">
      <c r="B54" s="78"/>
      <c r="C54" s="288"/>
      <c r="D54" s="289"/>
      <c r="E54" s="289"/>
      <c r="F54" s="289"/>
      <c r="G54" s="289"/>
      <c r="H54" s="289"/>
      <c r="I54" s="115"/>
      <c r="J54" s="252"/>
      <c r="K54" s="25"/>
      <c r="L54" s="79"/>
      <c r="M54" s="25"/>
      <c r="N54" s="80"/>
    </row>
    <row r="55" spans="2:15" x14ac:dyDescent="0.25">
      <c r="B55" s="78"/>
      <c r="C55" s="352" t="s">
        <v>426</v>
      </c>
      <c r="D55" s="343"/>
      <c r="E55" s="343"/>
      <c r="F55" s="343"/>
      <c r="G55" s="343"/>
      <c r="H55" s="343"/>
      <c r="I55" s="115"/>
      <c r="J55" s="94"/>
      <c r="K55" s="25"/>
      <c r="L55" s="79"/>
      <c r="M55" s="25"/>
      <c r="N55" s="80"/>
    </row>
    <row r="56" spans="2:15" ht="34.15" customHeight="1" x14ac:dyDescent="0.25">
      <c r="B56" s="78"/>
      <c r="C56" s="570" t="s">
        <v>427</v>
      </c>
      <c r="D56" s="571"/>
      <c r="E56" s="571"/>
      <c r="F56" s="571"/>
      <c r="G56" s="571"/>
      <c r="H56" s="571"/>
      <c r="I56" s="572"/>
      <c r="J56" s="252"/>
      <c r="K56" s="25"/>
      <c r="L56" s="79"/>
      <c r="M56" s="25"/>
      <c r="N56" s="80"/>
    </row>
    <row r="57" spans="2:15" ht="15.75" customHeight="1" x14ac:dyDescent="0.25">
      <c r="B57" s="78"/>
      <c r="C57" s="349"/>
      <c r="D57"/>
      <c r="E57"/>
      <c r="F57"/>
      <c r="G57"/>
      <c r="H57" s="355"/>
      <c r="I57" s="94"/>
      <c r="J57" s="252"/>
      <c r="K57" s="25"/>
      <c r="L57" s="79"/>
      <c r="M57" s="25"/>
      <c r="N57" s="80"/>
    </row>
    <row r="58" spans="2:15" ht="15.75" customHeight="1" x14ac:dyDescent="0.25">
      <c r="B58" s="78"/>
      <c r="C58" s="353" t="s">
        <v>435</v>
      </c>
      <c r="D58" s="351"/>
      <c r="E58" s="351"/>
      <c r="F58" s="351"/>
      <c r="G58" s="351"/>
      <c r="H58" s="351"/>
      <c r="I58" s="252"/>
      <c r="J58" s="252"/>
      <c r="K58" s="25"/>
      <c r="L58" s="79"/>
      <c r="M58" s="25"/>
      <c r="N58" s="80"/>
    </row>
    <row r="59" spans="2:15" ht="18" customHeight="1" x14ac:dyDescent="0.25">
      <c r="B59" s="78"/>
      <c r="C59" s="570" t="s">
        <v>429</v>
      </c>
      <c r="D59" s="573"/>
      <c r="E59" s="573"/>
      <c r="F59" s="573"/>
      <c r="G59" s="573"/>
      <c r="H59" s="574"/>
      <c r="I59" s="252"/>
      <c r="J59" s="252"/>
      <c r="K59" s="25"/>
      <c r="L59" s="79"/>
      <c r="M59" s="25"/>
      <c r="N59" s="80"/>
      <c r="O59" s="5"/>
    </row>
    <row r="60" spans="2:15" ht="18" customHeight="1" x14ac:dyDescent="0.25">
      <c r="B60" s="78"/>
      <c r="C60" s="357"/>
      <c r="D60"/>
      <c r="E60"/>
      <c r="F60"/>
      <c r="G60"/>
      <c r="H60" s="355"/>
      <c r="I60" s="252"/>
      <c r="J60" s="252"/>
      <c r="K60" s="25"/>
      <c r="L60" s="79"/>
      <c r="M60" s="25"/>
      <c r="N60" s="80"/>
      <c r="O60" s="5"/>
    </row>
    <row r="61" spans="2:15" ht="18" customHeight="1" x14ac:dyDescent="0.25">
      <c r="B61" s="78"/>
      <c r="C61" s="570" t="s">
        <v>436</v>
      </c>
      <c r="D61" s="571"/>
      <c r="E61" s="571"/>
      <c r="F61" s="571"/>
      <c r="G61" s="571"/>
      <c r="H61" s="571"/>
      <c r="I61" s="572"/>
      <c r="J61" s="252"/>
      <c r="K61" s="25"/>
      <c r="L61" s="79"/>
      <c r="M61" s="25"/>
      <c r="N61" s="80"/>
      <c r="O61" s="5"/>
    </row>
    <row r="62" spans="2:15" x14ac:dyDescent="0.25">
      <c r="B62" s="83"/>
      <c r="C62" s="475"/>
      <c r="D62" s="518"/>
      <c r="E62" s="518"/>
      <c r="F62" s="518"/>
      <c r="G62" s="518"/>
      <c r="H62" s="518"/>
      <c r="I62" s="519"/>
      <c r="J62" s="252"/>
      <c r="K62" s="25"/>
      <c r="L62" s="318" t="s">
        <v>6</v>
      </c>
      <c r="M62" s="319" t="s">
        <v>5</v>
      </c>
      <c r="N62" s="155">
        <f>SUM(N16:N59)</f>
        <v>128000</v>
      </c>
    </row>
    <row r="63" spans="2:15" x14ac:dyDescent="0.25">
      <c r="B63" s="88" t="s">
        <v>4</v>
      </c>
      <c r="C63" s="585" t="s">
        <v>495</v>
      </c>
      <c r="D63" s="586"/>
      <c r="E63" s="586"/>
      <c r="F63" s="586"/>
      <c r="G63" s="586"/>
      <c r="H63" s="586"/>
      <c r="I63" s="586"/>
      <c r="J63" s="586"/>
      <c r="K63" s="586"/>
      <c r="L63" s="586"/>
      <c r="M63" s="586"/>
      <c r="N63" s="587"/>
    </row>
    <row r="64" spans="2:15" x14ac:dyDescent="0.25">
      <c r="B64" s="73"/>
      <c r="C64" s="445"/>
      <c r="D64" s="444"/>
      <c r="E64" s="444"/>
      <c r="F64" s="444"/>
      <c r="G64" s="444"/>
      <c r="H64" s="444"/>
      <c r="I64" s="446"/>
      <c r="J64" s="441" t="s">
        <v>3</v>
      </c>
      <c r="K64" s="442"/>
      <c r="L64" s="442"/>
      <c r="M64" s="442"/>
      <c r="N64" s="443"/>
    </row>
    <row r="65" spans="2:14" ht="46.5" customHeight="1" x14ac:dyDescent="0.25">
      <c r="B65" s="78" t="s">
        <v>2</v>
      </c>
      <c r="C65" s="507"/>
      <c r="D65" s="508"/>
      <c r="E65" s="508"/>
      <c r="F65" s="508"/>
      <c r="G65" s="508"/>
      <c r="H65" s="508"/>
      <c r="I65" s="509"/>
      <c r="J65" s="445"/>
      <c r="K65" s="444"/>
      <c r="L65" s="444"/>
      <c r="M65" s="444"/>
      <c r="N65" s="446"/>
    </row>
    <row r="66" spans="2:14" x14ac:dyDescent="0.25">
      <c r="B66" s="78" t="s">
        <v>1</v>
      </c>
      <c r="C66" s="513" t="s">
        <v>216</v>
      </c>
      <c r="D66" s="440"/>
      <c r="E66" s="440"/>
      <c r="F66" s="440"/>
      <c r="G66" s="440"/>
      <c r="H66" s="440"/>
      <c r="I66" s="514"/>
      <c r="J66" s="441" t="s">
        <v>340</v>
      </c>
      <c r="K66" s="442"/>
      <c r="L66" s="442"/>
      <c r="M66" s="442"/>
      <c r="N66" s="443"/>
    </row>
    <row r="67" spans="2:14" x14ac:dyDescent="0.25">
      <c r="B67" s="83" t="s">
        <v>0</v>
      </c>
      <c r="C67" s="507" t="s">
        <v>217</v>
      </c>
      <c r="D67" s="508"/>
      <c r="E67" s="508"/>
      <c r="F67" s="508"/>
      <c r="G67" s="508"/>
      <c r="H67" s="508"/>
      <c r="I67" s="509"/>
      <c r="J67" s="445" t="s">
        <v>32</v>
      </c>
      <c r="K67" s="444"/>
      <c r="L67" s="444"/>
      <c r="M67" s="444"/>
      <c r="N67" s="446"/>
    </row>
  </sheetData>
  <mergeCells count="56">
    <mergeCell ref="C31:C33"/>
    <mergeCell ref="G31:H31"/>
    <mergeCell ref="G32:H32"/>
    <mergeCell ref="G33:H33"/>
    <mergeCell ref="B1:N1"/>
    <mergeCell ref="G20:H20"/>
    <mergeCell ref="C21:I21"/>
    <mergeCell ref="C16:G16"/>
    <mergeCell ref="B2:N2"/>
    <mergeCell ref="C7:I7"/>
    <mergeCell ref="M7:N7"/>
    <mergeCell ref="C9:I10"/>
    <mergeCell ref="C11:G11"/>
    <mergeCell ref="C12:G12"/>
    <mergeCell ref="C13:I13"/>
    <mergeCell ref="C14:I14"/>
    <mergeCell ref="C15:G15"/>
    <mergeCell ref="B3:N3"/>
    <mergeCell ref="C44:I44"/>
    <mergeCell ref="C50:I50"/>
    <mergeCell ref="C65:I65"/>
    <mergeCell ref="C52:G52"/>
    <mergeCell ref="C53:G53"/>
    <mergeCell ref="C62:I62"/>
    <mergeCell ref="C63:N63"/>
    <mergeCell ref="C64:I64"/>
    <mergeCell ref="C56:I56"/>
    <mergeCell ref="C45:I45"/>
    <mergeCell ref="C46:I46"/>
    <mergeCell ref="C47:I48"/>
    <mergeCell ref="C49:I49"/>
    <mergeCell ref="C51:G51"/>
    <mergeCell ref="C40:I40"/>
    <mergeCell ref="C41:I41"/>
    <mergeCell ref="C43:I43"/>
    <mergeCell ref="G17:H17"/>
    <mergeCell ref="G18:H18"/>
    <mergeCell ref="G19:H19"/>
    <mergeCell ref="C35:I35"/>
    <mergeCell ref="C18:C20"/>
    <mergeCell ref="C22:I23"/>
    <mergeCell ref="C24:G24"/>
    <mergeCell ref="C25:G25"/>
    <mergeCell ref="C26:I26"/>
    <mergeCell ref="C27:I27"/>
    <mergeCell ref="C28:G28"/>
    <mergeCell ref="C29:G29"/>
    <mergeCell ref="G30:H30"/>
    <mergeCell ref="J67:N67"/>
    <mergeCell ref="J66:N66"/>
    <mergeCell ref="J65:N65"/>
    <mergeCell ref="J64:N64"/>
    <mergeCell ref="C59:H59"/>
    <mergeCell ref="C61:I61"/>
    <mergeCell ref="C66:I66"/>
    <mergeCell ref="C67:I67"/>
  </mergeCells>
  <phoneticPr fontId="43" type="noConversion"/>
  <printOptions horizontalCentered="1"/>
  <pageMargins left="0.25" right="0.25" top="0.75" bottom="0.75" header="0.3" footer="0.3"/>
  <pageSetup paperSize="9" scale="55"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0447-D29F-4B88-9D12-88C9FE7B84CB}">
  <sheetPr>
    <tabColor rgb="FFFFC000"/>
    <pageSetUpPr fitToPage="1"/>
  </sheetPr>
  <dimension ref="B1:L45"/>
  <sheetViews>
    <sheetView view="pageBreakPreview" zoomScale="85" zoomScaleNormal="100" zoomScaleSheetLayoutView="85" workbookViewId="0">
      <selection activeCell="O8" sqref="O8"/>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8.45" customHeight="1" x14ac:dyDescent="0.4">
      <c r="B3" s="618" t="s">
        <v>451</v>
      </c>
      <c r="C3" s="425"/>
      <c r="D3" s="425"/>
      <c r="E3" s="425"/>
      <c r="F3" s="425"/>
      <c r="G3" s="425"/>
      <c r="H3" s="425"/>
      <c r="I3" s="425"/>
      <c r="J3" s="425"/>
      <c r="K3" s="425"/>
      <c r="L3" s="425"/>
    </row>
    <row r="4" spans="2:12" x14ac:dyDescent="0.25">
      <c r="B4" s="31"/>
      <c r="C4" s="30"/>
      <c r="D4" s="38"/>
      <c r="E4" s="38"/>
      <c r="F4" s="38"/>
      <c r="G4" s="38"/>
      <c r="H4" s="38"/>
      <c r="I4" s="29" t="s">
        <v>452</v>
      </c>
      <c r="J4" s="39"/>
      <c r="K4" s="27"/>
      <c r="L4" s="292" t="s">
        <v>477</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00"/>
      <c r="C7" s="428" t="s">
        <v>19</v>
      </c>
      <c r="D7" s="462"/>
      <c r="E7" s="462"/>
      <c r="F7" s="462"/>
      <c r="G7" s="429"/>
      <c r="H7" s="143" t="s">
        <v>21</v>
      </c>
      <c r="I7" s="33" t="s">
        <v>20</v>
      </c>
      <c r="J7" s="47" t="s">
        <v>18</v>
      </c>
      <c r="K7" s="430" t="s">
        <v>17</v>
      </c>
      <c r="L7" s="431"/>
    </row>
    <row r="8" spans="2:12" ht="20.25" customHeight="1" x14ac:dyDescent="0.25">
      <c r="B8" s="100"/>
      <c r="C8" s="539" t="s">
        <v>458</v>
      </c>
      <c r="D8" s="540"/>
      <c r="E8" s="540"/>
      <c r="F8" s="540"/>
      <c r="G8" s="541"/>
      <c r="H8" s="103"/>
      <c r="I8" s="11"/>
      <c r="J8" s="52"/>
      <c r="L8" s="53"/>
    </row>
    <row r="9" spans="2:12" ht="16.5" customHeight="1" x14ac:dyDescent="0.25">
      <c r="B9" s="100"/>
      <c r="C9" s="542"/>
      <c r="D9" s="543"/>
      <c r="E9" s="543"/>
      <c r="F9" s="543"/>
      <c r="G9" s="544"/>
      <c r="H9" s="309"/>
      <c r="I9" s="10"/>
      <c r="J9" s="169"/>
      <c r="K9" s="371"/>
      <c r="L9" s="158"/>
    </row>
    <row r="10" spans="2:12" ht="18.75" customHeight="1" x14ac:dyDescent="0.25">
      <c r="B10" s="100"/>
      <c r="C10" s="60" t="s">
        <v>21</v>
      </c>
      <c r="D10" s="469" t="s">
        <v>41</v>
      </c>
      <c r="E10" s="469"/>
      <c r="F10" s="469" t="s">
        <v>42</v>
      </c>
      <c r="G10" s="469"/>
      <c r="H10" s="231"/>
      <c r="I10" s="232"/>
      <c r="J10" s="233"/>
      <c r="K10" s="229"/>
      <c r="L10" s="234"/>
    </row>
    <row r="11" spans="2:12" ht="30.75" customHeight="1" x14ac:dyDescent="0.25">
      <c r="B11" s="100"/>
      <c r="C11" s="361">
        <v>40</v>
      </c>
      <c r="D11" s="500" t="s">
        <v>453</v>
      </c>
      <c r="E11" s="502"/>
      <c r="F11" s="619" t="s">
        <v>450</v>
      </c>
      <c r="G11" s="502"/>
      <c r="H11" s="60">
        <v>40</v>
      </c>
      <c r="I11" s="362" t="s">
        <v>53</v>
      </c>
      <c r="J11" s="363">
        <v>400</v>
      </c>
      <c r="K11" s="364"/>
      <c r="L11" s="365">
        <f>H11*J11</f>
        <v>16000</v>
      </c>
    </row>
    <row r="12" spans="2:12" ht="30.75" customHeight="1" x14ac:dyDescent="0.25">
      <c r="B12" s="100"/>
      <c r="C12" s="64"/>
      <c r="D12" s="235"/>
      <c r="E12" s="235"/>
      <c r="F12" s="223"/>
      <c r="G12" s="107"/>
      <c r="H12" s="36"/>
      <c r="I12" s="11"/>
      <c r="J12" s="173"/>
      <c r="K12" s="59"/>
      <c r="L12" s="226"/>
    </row>
    <row r="13" spans="2:12" ht="16.5" customHeight="1" x14ac:dyDescent="0.25">
      <c r="B13" s="100"/>
      <c r="C13" s="628" t="s">
        <v>113</v>
      </c>
      <c r="D13" s="629"/>
      <c r="E13" s="235"/>
      <c r="F13" s="223"/>
      <c r="G13" s="107"/>
      <c r="H13" s="36"/>
      <c r="I13" s="11"/>
      <c r="J13" s="173"/>
      <c r="K13" s="59"/>
      <c r="L13" s="226"/>
    </row>
    <row r="14" spans="2:12" ht="118.9" customHeight="1" x14ac:dyDescent="0.25">
      <c r="B14" s="100"/>
      <c r="C14" s="620" t="s">
        <v>460</v>
      </c>
      <c r="D14" s="621"/>
      <c r="E14" s="621"/>
      <c r="F14" s="621"/>
      <c r="G14" s="622"/>
      <c r="H14" s="61"/>
      <c r="I14" s="11"/>
      <c r="J14" s="173"/>
      <c r="K14" s="59"/>
      <c r="L14" s="158"/>
    </row>
    <row r="15" spans="2:12" ht="20.25" customHeight="1" x14ac:dyDescent="0.25">
      <c r="B15" s="100"/>
      <c r="C15" s="359" t="s">
        <v>459</v>
      </c>
      <c r="D15" s="360"/>
      <c r="E15" s="360"/>
      <c r="F15" s="223"/>
      <c r="G15" s="153"/>
      <c r="H15" s="61"/>
      <c r="I15" s="11"/>
      <c r="J15" s="173"/>
      <c r="K15" s="59"/>
      <c r="L15" s="158"/>
    </row>
    <row r="16" spans="2:12" ht="20.25" customHeight="1" x14ac:dyDescent="0.25">
      <c r="B16" s="100"/>
      <c r="C16" s="358" t="s">
        <v>162</v>
      </c>
      <c r="D16" s="360"/>
      <c r="E16" s="360"/>
      <c r="F16" s="223"/>
      <c r="G16" s="153"/>
      <c r="H16" s="61"/>
      <c r="I16" s="11"/>
      <c r="J16" s="173"/>
      <c r="K16" s="59"/>
      <c r="L16" s="158"/>
    </row>
    <row r="17" spans="2:12" ht="20.25" customHeight="1" x14ac:dyDescent="0.25">
      <c r="B17" s="100"/>
      <c r="C17" s="359"/>
      <c r="D17" s="360"/>
      <c r="E17" s="360"/>
      <c r="F17" s="223"/>
      <c r="G17" s="153"/>
      <c r="H17" s="61"/>
      <c r="I17" s="11"/>
      <c r="J17" s="173"/>
      <c r="K17" s="59"/>
      <c r="L17" s="158"/>
    </row>
    <row r="18" spans="2:12" ht="95.45" customHeight="1" x14ac:dyDescent="0.25">
      <c r="B18" s="100"/>
      <c r="C18" s="620" t="s">
        <v>461</v>
      </c>
      <c r="D18" s="623"/>
      <c r="E18" s="623"/>
      <c r="F18" s="623"/>
      <c r="G18" s="624"/>
      <c r="H18" s="61"/>
      <c r="I18" s="11"/>
      <c r="J18" s="173"/>
      <c r="K18" s="59"/>
      <c r="L18" s="158"/>
    </row>
    <row r="19" spans="2:12" ht="20.25" customHeight="1" x14ac:dyDescent="0.25">
      <c r="B19" s="100"/>
      <c r="C19" s="625"/>
      <c r="D19" s="626"/>
      <c r="E19" s="626"/>
      <c r="F19" s="626"/>
      <c r="G19" s="627"/>
      <c r="H19" s="61"/>
      <c r="I19" s="11"/>
      <c r="J19" s="173"/>
      <c r="K19" s="59"/>
      <c r="L19" s="158"/>
    </row>
    <row r="20" spans="2:12" ht="20.25" customHeight="1" x14ac:dyDescent="0.25">
      <c r="B20" s="100"/>
      <c r="C20" s="628" t="s">
        <v>462</v>
      </c>
      <c r="D20" s="629"/>
      <c r="E20" s="629"/>
      <c r="F20" s="629"/>
      <c r="G20" s="630"/>
      <c r="H20" s="61"/>
      <c r="I20" s="11"/>
      <c r="J20" s="173"/>
      <c r="K20" s="59"/>
      <c r="L20" s="158"/>
    </row>
    <row r="21" spans="2:12" ht="86.45" customHeight="1" x14ac:dyDescent="0.25">
      <c r="B21" s="100"/>
      <c r="C21" s="620" t="s">
        <v>463</v>
      </c>
      <c r="D21" s="623"/>
      <c r="E21" s="623"/>
      <c r="F21" s="623"/>
      <c r="G21" s="624"/>
      <c r="H21" s="61"/>
      <c r="I21" s="11"/>
      <c r="J21" s="173"/>
      <c r="K21" s="59"/>
      <c r="L21" s="158"/>
    </row>
    <row r="22" spans="2:12" ht="20.25" customHeight="1" x14ac:dyDescent="0.25">
      <c r="B22" s="100"/>
      <c r="C22" s="625"/>
      <c r="D22" s="626"/>
      <c r="E22" s="626"/>
      <c r="F22" s="626"/>
      <c r="G22" s="627"/>
      <c r="H22" s="61"/>
      <c r="I22" s="11"/>
      <c r="J22" s="173"/>
      <c r="K22" s="59"/>
      <c r="L22" s="158"/>
    </row>
    <row r="23" spans="2:12" ht="20.25" customHeight="1" x14ac:dyDescent="0.25">
      <c r="B23" s="100"/>
      <c r="C23" s="625"/>
      <c r="D23" s="626"/>
      <c r="E23" s="626"/>
      <c r="F23" s="626"/>
      <c r="G23" s="627"/>
      <c r="H23" s="61"/>
      <c r="I23" s="11"/>
      <c r="J23" s="173"/>
      <c r="K23" s="59"/>
      <c r="L23" s="158"/>
    </row>
    <row r="24" spans="2:12" x14ac:dyDescent="0.25">
      <c r="B24" s="100"/>
      <c r="C24" s="96" t="s">
        <v>33</v>
      </c>
      <c r="D24" s="107"/>
      <c r="E24" s="107"/>
      <c r="F24" s="108"/>
      <c r="G24" s="108"/>
      <c r="H24" s="61"/>
      <c r="I24" s="62"/>
      <c r="J24" s="237"/>
      <c r="K24" s="59"/>
      <c r="L24" s="53"/>
    </row>
    <row r="25" spans="2:12" x14ac:dyDescent="0.25">
      <c r="B25" s="100"/>
      <c r="C25" s="95" t="s">
        <v>34</v>
      </c>
      <c r="D25" s="107"/>
      <c r="E25" s="107"/>
      <c r="F25" s="108"/>
      <c r="G25" s="108"/>
      <c r="H25" s="61"/>
      <c r="I25" s="62"/>
      <c r="J25" s="237"/>
      <c r="K25" s="59"/>
      <c r="L25" s="53"/>
    </row>
    <row r="26" spans="2:12" x14ac:dyDescent="0.25">
      <c r="B26" s="100"/>
      <c r="C26" s="95" t="s">
        <v>35</v>
      </c>
      <c r="D26" s="107"/>
      <c r="E26" s="107"/>
      <c r="F26" s="108"/>
      <c r="G26" s="108"/>
      <c r="H26" s="61"/>
      <c r="I26" s="62"/>
      <c r="J26" s="237"/>
      <c r="K26" s="59"/>
      <c r="L26" s="53"/>
    </row>
    <row r="27" spans="2:12" x14ac:dyDescent="0.25">
      <c r="B27" s="100"/>
      <c r="C27" s="95"/>
      <c r="D27" s="107"/>
      <c r="E27" s="107"/>
      <c r="F27" s="108"/>
      <c r="G27" s="108"/>
      <c r="H27" s="61"/>
      <c r="I27" s="62"/>
      <c r="J27" s="237"/>
      <c r="K27" s="59"/>
      <c r="L27" s="53"/>
    </row>
    <row r="28" spans="2:12" x14ac:dyDescent="0.25">
      <c r="B28" s="100"/>
      <c r="C28" s="96" t="s">
        <v>36</v>
      </c>
      <c r="D28" s="107"/>
      <c r="E28" s="107"/>
      <c r="F28" s="108"/>
      <c r="G28" s="108"/>
      <c r="H28" s="61"/>
      <c r="I28" s="62"/>
      <c r="J28" s="237"/>
      <c r="K28" s="59"/>
      <c r="L28" s="53"/>
    </row>
    <row r="29" spans="2:12" x14ac:dyDescent="0.25">
      <c r="B29" s="100"/>
      <c r="C29" s="95" t="s">
        <v>37</v>
      </c>
      <c r="D29" s="109"/>
      <c r="E29" s="109"/>
      <c r="F29" s="109"/>
      <c r="G29" s="109"/>
      <c r="H29" s="65"/>
      <c r="I29" s="11"/>
      <c r="J29" s="173"/>
      <c r="L29" s="53"/>
    </row>
    <row r="30" spans="2:12" x14ac:dyDescent="0.25">
      <c r="B30" s="100"/>
      <c r="C30" s="95" t="s">
        <v>84</v>
      </c>
      <c r="D30" s="109"/>
      <c r="E30" s="109"/>
      <c r="F30" s="109"/>
      <c r="G30" s="109"/>
      <c r="H30" s="65"/>
      <c r="I30" s="11"/>
      <c r="J30" s="173"/>
      <c r="L30" s="53"/>
    </row>
    <row r="31" spans="2:12" x14ac:dyDescent="0.25">
      <c r="B31" s="100"/>
      <c r="C31" s="95"/>
      <c r="D31" s="109"/>
      <c r="E31" s="109"/>
      <c r="F31" s="109"/>
      <c r="G31" s="110"/>
      <c r="H31" s="109"/>
      <c r="I31" s="11"/>
      <c r="J31" s="173"/>
      <c r="L31" s="53"/>
    </row>
    <row r="32" spans="2:12" x14ac:dyDescent="0.25">
      <c r="B32" s="100"/>
      <c r="C32" s="167" t="s">
        <v>426</v>
      </c>
      <c r="D32" s="343"/>
      <c r="E32" s="343"/>
      <c r="F32" s="343"/>
      <c r="G32" s="344"/>
      <c r="H32" s="343"/>
      <c r="I32" s="11"/>
      <c r="J32" s="173"/>
      <c r="L32" s="53"/>
    </row>
    <row r="33" spans="2:12" ht="49.9" customHeight="1" x14ac:dyDescent="0.25">
      <c r="B33" s="100"/>
      <c r="C33" s="570" t="s">
        <v>454</v>
      </c>
      <c r="D33" s="571"/>
      <c r="E33" s="571"/>
      <c r="F33" s="571"/>
      <c r="G33" s="572"/>
      <c r="H33" s="355"/>
      <c r="I33" s="11"/>
      <c r="J33" s="174"/>
      <c r="K33" s="24"/>
      <c r="L33" s="53"/>
    </row>
    <row r="34" spans="2:12" ht="33.6" customHeight="1" x14ac:dyDescent="0.25">
      <c r="B34" s="100"/>
      <c r="C34" s="570" t="s">
        <v>455</v>
      </c>
      <c r="D34" s="571"/>
      <c r="E34" s="571"/>
      <c r="F34" s="571"/>
      <c r="G34" s="572"/>
      <c r="H34" s="367"/>
      <c r="I34" s="11"/>
      <c r="J34" s="174"/>
      <c r="K34" s="24"/>
      <c r="L34" s="53"/>
    </row>
    <row r="35" spans="2:12" ht="36.6" customHeight="1" x14ac:dyDescent="0.25">
      <c r="B35" s="100"/>
      <c r="C35" s="570" t="s">
        <v>456</v>
      </c>
      <c r="D35" s="571"/>
      <c r="E35" s="571"/>
      <c r="F35" s="571"/>
      <c r="G35" s="572"/>
      <c r="H35" s="355"/>
      <c r="I35" s="11"/>
      <c r="J35" s="174"/>
      <c r="K35" s="24"/>
      <c r="L35" s="53"/>
    </row>
    <row r="36" spans="2:12" ht="18" customHeight="1" x14ac:dyDescent="0.25">
      <c r="B36" s="100"/>
      <c r="C36" s="349"/>
      <c r="D36" s="357"/>
      <c r="E36" s="357"/>
      <c r="F36" s="357"/>
      <c r="G36" s="356"/>
      <c r="H36" s="369"/>
      <c r="I36" s="53"/>
      <c r="J36" s="174"/>
      <c r="K36" s="24"/>
      <c r="L36" s="53"/>
    </row>
    <row r="37" spans="2:12" ht="18.600000000000001" customHeight="1" x14ac:dyDescent="0.25">
      <c r="B37" s="100"/>
      <c r="C37" s="570" t="s">
        <v>464</v>
      </c>
      <c r="D37" s="571"/>
      <c r="E37" s="571"/>
      <c r="F37" s="571"/>
      <c r="G37" s="572"/>
      <c r="H37" s="370"/>
      <c r="I37" s="367"/>
      <c r="J37" s="174"/>
      <c r="K37" s="24"/>
      <c r="L37" s="53"/>
    </row>
    <row r="38" spans="2:12" ht="25.9" customHeight="1" x14ac:dyDescent="0.25">
      <c r="B38" s="101"/>
      <c r="C38" s="366"/>
      <c r="D38"/>
      <c r="E38"/>
      <c r="F38"/>
      <c r="G38"/>
      <c r="H38" s="368"/>
      <c r="I38" s="10"/>
      <c r="J38" s="238" t="s">
        <v>6</v>
      </c>
      <c r="K38" s="72" t="s">
        <v>5</v>
      </c>
      <c r="L38" s="69">
        <f>L11</f>
        <v>16000</v>
      </c>
    </row>
    <row r="39" spans="2:12" ht="34.5" customHeight="1" x14ac:dyDescent="0.25">
      <c r="B39" s="88" t="s">
        <v>4</v>
      </c>
      <c r="C39" s="477" t="s">
        <v>458</v>
      </c>
      <c r="D39" s="478"/>
      <c r="E39" s="478"/>
      <c r="F39" s="478"/>
      <c r="G39" s="478"/>
      <c r="H39" s="478"/>
      <c r="I39" s="478"/>
      <c r="J39" s="478"/>
      <c r="K39" s="478"/>
      <c r="L39" s="479"/>
    </row>
    <row r="40" spans="2:12" x14ac:dyDescent="0.25">
      <c r="B40" s="136"/>
      <c r="C40" s="137"/>
      <c r="D40" s="138"/>
      <c r="E40" s="138"/>
      <c r="F40" s="138"/>
      <c r="G40" s="138"/>
      <c r="H40" s="138"/>
      <c r="I40" s="138"/>
      <c r="J40" s="138"/>
      <c r="K40" s="138"/>
      <c r="L40" s="141"/>
    </row>
    <row r="41" spans="2:12" x14ac:dyDescent="0.25">
      <c r="B41" s="73"/>
      <c r="C41" s="445"/>
      <c r="D41" s="444"/>
      <c r="E41" s="444"/>
      <c r="F41" s="444"/>
      <c r="G41" s="446"/>
      <c r="H41" s="441" t="s">
        <v>3</v>
      </c>
      <c r="I41" s="442"/>
      <c r="J41" s="442"/>
      <c r="K41" s="442"/>
      <c r="L41" s="443"/>
    </row>
    <row r="42" spans="2:12" ht="12.75" customHeight="1" x14ac:dyDescent="0.25">
      <c r="B42" s="25"/>
      <c r="C42" s="450"/>
      <c r="D42" s="480"/>
      <c r="E42" s="480"/>
      <c r="F42" s="480"/>
      <c r="G42" s="451"/>
      <c r="H42" s="454"/>
      <c r="I42" s="455"/>
      <c r="J42" s="455"/>
      <c r="K42" s="455"/>
      <c r="L42" s="456"/>
    </row>
    <row r="43" spans="2:12" ht="22.9" customHeight="1" x14ac:dyDescent="0.25">
      <c r="B43" s="78" t="s">
        <v>2</v>
      </c>
      <c r="C43" s="452"/>
      <c r="D43" s="481"/>
      <c r="E43" s="481"/>
      <c r="F43" s="481"/>
      <c r="G43" s="453"/>
      <c r="H43" s="457"/>
      <c r="I43" s="458"/>
      <c r="J43" s="458"/>
      <c r="K43" s="458"/>
      <c r="L43" s="459"/>
    </row>
    <row r="44" spans="2:12" ht="15.6" customHeight="1" x14ac:dyDescent="0.25">
      <c r="B44" s="78" t="s">
        <v>1</v>
      </c>
      <c r="C44" s="513" t="s">
        <v>216</v>
      </c>
      <c r="D44" s="440"/>
      <c r="E44" s="440"/>
      <c r="F44" s="440"/>
      <c r="G44" s="514"/>
      <c r="H44" s="441" t="s">
        <v>380</v>
      </c>
      <c r="I44" s="442"/>
      <c r="J44" s="442"/>
      <c r="K44" s="442"/>
      <c r="L44" s="443"/>
    </row>
    <row r="45" spans="2:12" x14ac:dyDescent="0.25">
      <c r="B45" s="83" t="s">
        <v>0</v>
      </c>
      <c r="C45" s="444" t="s">
        <v>457</v>
      </c>
      <c r="D45" s="444"/>
      <c r="E45" s="444"/>
      <c r="F45" s="444"/>
      <c r="G45" s="444"/>
      <c r="H45" s="445" t="s">
        <v>32</v>
      </c>
      <c r="I45" s="444"/>
      <c r="J45" s="444"/>
      <c r="K45" s="444"/>
      <c r="L45" s="446"/>
    </row>
  </sheetData>
  <mergeCells count="32">
    <mergeCell ref="C45:G45"/>
    <mergeCell ref="H45:L45"/>
    <mergeCell ref="C41:G41"/>
    <mergeCell ref="H41:L41"/>
    <mergeCell ref="C42:G43"/>
    <mergeCell ref="H42:L43"/>
    <mergeCell ref="C44:G44"/>
    <mergeCell ref="H44:L44"/>
    <mergeCell ref="C39:L39"/>
    <mergeCell ref="C8:G9"/>
    <mergeCell ref="D10:E10"/>
    <mergeCell ref="F10:G10"/>
    <mergeCell ref="D11:E11"/>
    <mergeCell ref="F11:G11"/>
    <mergeCell ref="C14:G14"/>
    <mergeCell ref="C18:G18"/>
    <mergeCell ref="C19:G19"/>
    <mergeCell ref="C20:G20"/>
    <mergeCell ref="C13:D13"/>
    <mergeCell ref="C34:G34"/>
    <mergeCell ref="C37:G37"/>
    <mergeCell ref="C21:G21"/>
    <mergeCell ref="C22:G22"/>
    <mergeCell ref="C23:G23"/>
    <mergeCell ref="C33:G33"/>
    <mergeCell ref="C35:G35"/>
    <mergeCell ref="B1:L1"/>
    <mergeCell ref="B2:L2"/>
    <mergeCell ref="B3:L3"/>
    <mergeCell ref="C5:H5"/>
    <mergeCell ref="C7:G7"/>
    <mergeCell ref="K7:L7"/>
  </mergeCells>
  <pageMargins left="0.23622047244094491" right="0.23622047244094491" top="1.1417322834645669" bottom="0.74803149606299213" header="0.31496062992125984" footer="0.31496062992125984"/>
  <pageSetup paperSize="9" scale="72"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0D5A-327E-4B6F-9A3D-8205E9CDBE5D}">
  <sheetPr>
    <tabColor rgb="FFFFC000"/>
    <pageSetUpPr fitToPage="1"/>
  </sheetPr>
  <dimension ref="B1:L45"/>
  <sheetViews>
    <sheetView view="pageBreakPreview" zoomScale="70" zoomScaleNormal="100" zoomScaleSheetLayoutView="70" workbookViewId="0">
      <selection activeCell="N5" sqref="N5"/>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98.45" customHeight="1" x14ac:dyDescent="0.4">
      <c r="B3" s="618" t="s">
        <v>451</v>
      </c>
      <c r="C3" s="425"/>
      <c r="D3" s="425"/>
      <c r="E3" s="425"/>
      <c r="F3" s="425"/>
      <c r="G3" s="425"/>
      <c r="H3" s="425"/>
      <c r="I3" s="425"/>
      <c r="J3" s="425"/>
      <c r="K3" s="425"/>
      <c r="L3" s="425"/>
    </row>
    <row r="4" spans="2:12" x14ac:dyDescent="0.25">
      <c r="B4" s="31"/>
      <c r="C4" s="30"/>
      <c r="D4" s="38"/>
      <c r="E4" s="38"/>
      <c r="F4" s="38"/>
      <c r="G4" s="38"/>
      <c r="H4" s="38"/>
      <c r="I4" s="29" t="s">
        <v>452</v>
      </c>
      <c r="J4" s="39"/>
      <c r="K4" s="27"/>
      <c r="L4" s="292" t="s">
        <v>477</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00"/>
      <c r="C7" s="428" t="s">
        <v>19</v>
      </c>
      <c r="D7" s="462"/>
      <c r="E7" s="462"/>
      <c r="F7" s="462"/>
      <c r="G7" s="429"/>
      <c r="H7" s="143" t="s">
        <v>21</v>
      </c>
      <c r="I7" s="33" t="s">
        <v>20</v>
      </c>
      <c r="J7" s="47" t="s">
        <v>18</v>
      </c>
      <c r="K7" s="430" t="s">
        <v>17</v>
      </c>
      <c r="L7" s="431"/>
    </row>
    <row r="8" spans="2:12" ht="20.25" customHeight="1" x14ac:dyDescent="0.25">
      <c r="B8" s="100"/>
      <c r="C8" s="539" t="s">
        <v>448</v>
      </c>
      <c r="D8" s="540"/>
      <c r="E8" s="540"/>
      <c r="F8" s="540"/>
      <c r="G8" s="541"/>
      <c r="H8" s="103"/>
      <c r="I8" s="11"/>
      <c r="J8" s="52"/>
      <c r="L8" s="53"/>
    </row>
    <row r="9" spans="2:12" ht="16.5" customHeight="1" x14ac:dyDescent="0.25">
      <c r="B9" s="100"/>
      <c r="C9" s="542"/>
      <c r="D9" s="543"/>
      <c r="E9" s="543"/>
      <c r="F9" s="543"/>
      <c r="G9" s="544"/>
      <c r="H9" s="107"/>
      <c r="I9" s="10"/>
      <c r="J9" s="169"/>
      <c r="K9" s="371"/>
      <c r="L9" s="158"/>
    </row>
    <row r="10" spans="2:12" ht="18.75" customHeight="1" x14ac:dyDescent="0.25">
      <c r="B10" s="100"/>
      <c r="C10" s="60" t="s">
        <v>21</v>
      </c>
      <c r="D10" s="469" t="s">
        <v>41</v>
      </c>
      <c r="E10" s="469"/>
      <c r="F10" s="469" t="s">
        <v>42</v>
      </c>
      <c r="G10" s="469"/>
      <c r="H10" s="231"/>
      <c r="I10" s="232"/>
      <c r="J10" s="233"/>
      <c r="K10" s="229"/>
      <c r="L10" s="234"/>
    </row>
    <row r="11" spans="2:12" ht="30.75" customHeight="1" x14ac:dyDescent="0.25">
      <c r="B11" s="100"/>
      <c r="C11" s="361">
        <v>30</v>
      </c>
      <c r="D11" s="500" t="s">
        <v>453</v>
      </c>
      <c r="E11" s="502"/>
      <c r="F11" s="631" t="s">
        <v>450</v>
      </c>
      <c r="G11" s="502"/>
      <c r="H11" s="60">
        <v>30</v>
      </c>
      <c r="I11" s="361" t="s">
        <v>53</v>
      </c>
      <c r="J11" s="372">
        <v>500</v>
      </c>
      <c r="K11" s="373"/>
      <c r="L11" s="374">
        <f>H11*J11</f>
        <v>15000</v>
      </c>
    </row>
    <row r="12" spans="2:12" ht="30.75" customHeight="1" x14ac:dyDescent="0.25">
      <c r="B12" s="100"/>
      <c r="C12" s="64"/>
      <c r="D12" s="235"/>
      <c r="E12" s="235"/>
      <c r="F12" s="223"/>
      <c r="G12" s="107"/>
      <c r="H12" s="36"/>
      <c r="I12" s="11"/>
      <c r="J12" s="173"/>
      <c r="K12" s="59"/>
      <c r="L12" s="226"/>
    </row>
    <row r="13" spans="2:12" ht="16.5" customHeight="1" x14ac:dyDescent="0.25">
      <c r="B13" s="100"/>
      <c r="C13" s="628" t="s">
        <v>113</v>
      </c>
      <c r="D13" s="629"/>
      <c r="E13" s="235"/>
      <c r="F13" s="223"/>
      <c r="G13" s="107"/>
      <c r="H13" s="36"/>
      <c r="I13" s="11"/>
      <c r="J13" s="173"/>
      <c r="K13" s="59"/>
      <c r="L13" s="226"/>
    </row>
    <row r="14" spans="2:12" ht="118.9" customHeight="1" x14ac:dyDescent="0.25">
      <c r="B14" s="100"/>
      <c r="C14" s="620" t="s">
        <v>460</v>
      </c>
      <c r="D14" s="621"/>
      <c r="E14" s="621"/>
      <c r="F14" s="621"/>
      <c r="G14" s="622"/>
      <c r="H14" s="61"/>
      <c r="I14" s="11"/>
      <c r="J14" s="173"/>
      <c r="K14" s="59"/>
      <c r="L14" s="158"/>
    </row>
    <row r="15" spans="2:12" ht="20.25" customHeight="1" x14ac:dyDescent="0.25">
      <c r="B15" s="100"/>
      <c r="C15" s="359" t="s">
        <v>459</v>
      </c>
      <c r="D15" s="360"/>
      <c r="E15" s="360"/>
      <c r="F15" s="223"/>
      <c r="G15" s="153"/>
      <c r="H15" s="61"/>
      <c r="I15" s="11"/>
      <c r="J15" s="173"/>
      <c r="K15" s="59"/>
      <c r="L15" s="158"/>
    </row>
    <row r="16" spans="2:12" ht="20.25" customHeight="1" x14ac:dyDescent="0.25">
      <c r="B16" s="100"/>
      <c r="C16" s="358" t="s">
        <v>162</v>
      </c>
      <c r="D16" s="360"/>
      <c r="E16" s="360"/>
      <c r="F16" s="223"/>
      <c r="G16" s="153"/>
      <c r="H16" s="61"/>
      <c r="I16" s="11"/>
      <c r="J16" s="173"/>
      <c r="K16" s="59"/>
      <c r="L16" s="158"/>
    </row>
    <row r="17" spans="2:12" ht="20.25" customHeight="1" x14ac:dyDescent="0.25">
      <c r="B17" s="100"/>
      <c r="C17" s="359"/>
      <c r="D17" s="360"/>
      <c r="E17" s="360"/>
      <c r="F17" s="223"/>
      <c r="G17" s="153"/>
      <c r="H17" s="61"/>
      <c r="I17" s="11"/>
      <c r="J17" s="173"/>
      <c r="K17" s="59"/>
      <c r="L17" s="158"/>
    </row>
    <row r="18" spans="2:12" ht="118.9" customHeight="1" x14ac:dyDescent="0.25">
      <c r="B18" s="100"/>
      <c r="C18" s="620" t="s">
        <v>461</v>
      </c>
      <c r="D18" s="623"/>
      <c r="E18" s="623"/>
      <c r="F18" s="623"/>
      <c r="G18" s="624"/>
      <c r="H18" s="61"/>
      <c r="I18" s="11"/>
      <c r="J18" s="173"/>
      <c r="K18" s="59"/>
      <c r="L18" s="158"/>
    </row>
    <row r="19" spans="2:12" ht="20.25" customHeight="1" x14ac:dyDescent="0.25">
      <c r="B19" s="100"/>
      <c r="C19" s="625"/>
      <c r="D19" s="626"/>
      <c r="E19" s="626"/>
      <c r="F19" s="626"/>
      <c r="G19" s="627"/>
      <c r="H19" s="61"/>
      <c r="I19" s="11"/>
      <c r="J19" s="173"/>
      <c r="K19" s="59"/>
      <c r="L19" s="158"/>
    </row>
    <row r="20" spans="2:12" ht="20.25" customHeight="1" x14ac:dyDescent="0.25">
      <c r="B20" s="100"/>
      <c r="C20" s="628" t="s">
        <v>462</v>
      </c>
      <c r="D20" s="629"/>
      <c r="E20" s="629"/>
      <c r="F20" s="629"/>
      <c r="G20" s="630"/>
      <c r="H20" s="61"/>
      <c r="I20" s="11"/>
      <c r="J20" s="173"/>
      <c r="K20" s="59"/>
      <c r="L20" s="158"/>
    </row>
    <row r="21" spans="2:12" ht="86.45" customHeight="1" x14ac:dyDescent="0.25">
      <c r="B21" s="100"/>
      <c r="C21" s="620" t="s">
        <v>463</v>
      </c>
      <c r="D21" s="623"/>
      <c r="E21" s="623"/>
      <c r="F21" s="623"/>
      <c r="G21" s="624"/>
      <c r="H21" s="61"/>
      <c r="I21" s="11"/>
      <c r="J21" s="173"/>
      <c r="K21" s="59"/>
      <c r="L21" s="158"/>
    </row>
    <row r="22" spans="2:12" ht="20.25" customHeight="1" x14ac:dyDescent="0.25">
      <c r="B22" s="100"/>
      <c r="C22" s="625"/>
      <c r="D22" s="626"/>
      <c r="E22" s="626"/>
      <c r="F22" s="626"/>
      <c r="G22" s="627"/>
      <c r="H22" s="61"/>
      <c r="I22" s="11"/>
      <c r="J22" s="173"/>
      <c r="K22" s="59"/>
      <c r="L22" s="158"/>
    </row>
    <row r="23" spans="2:12" ht="20.25" customHeight="1" x14ac:dyDescent="0.25">
      <c r="B23" s="100"/>
      <c r="C23" s="625"/>
      <c r="D23" s="626"/>
      <c r="E23" s="626"/>
      <c r="F23" s="626"/>
      <c r="G23" s="627"/>
      <c r="H23" s="61"/>
      <c r="I23" s="11"/>
      <c r="J23" s="173"/>
      <c r="K23" s="59"/>
      <c r="L23" s="158"/>
    </row>
    <row r="24" spans="2:12" x14ac:dyDescent="0.25">
      <c r="B24" s="100"/>
      <c r="C24" s="96" t="s">
        <v>33</v>
      </c>
      <c r="D24" s="107"/>
      <c r="E24" s="107"/>
      <c r="F24" s="108"/>
      <c r="G24" s="108"/>
      <c r="H24" s="61"/>
      <c r="I24" s="62"/>
      <c r="J24" s="237"/>
      <c r="K24" s="59"/>
      <c r="L24" s="53"/>
    </row>
    <row r="25" spans="2:12" x14ac:dyDescent="0.25">
      <c r="B25" s="100"/>
      <c r="C25" s="95" t="s">
        <v>34</v>
      </c>
      <c r="D25" s="107"/>
      <c r="E25" s="107"/>
      <c r="F25" s="108"/>
      <c r="G25" s="108"/>
      <c r="H25" s="61"/>
      <c r="I25" s="62"/>
      <c r="J25" s="237"/>
      <c r="K25" s="59"/>
      <c r="L25" s="53"/>
    </row>
    <row r="26" spans="2:12" x14ac:dyDescent="0.25">
      <c r="B26" s="100"/>
      <c r="C26" s="95" t="s">
        <v>35</v>
      </c>
      <c r="D26" s="107"/>
      <c r="E26" s="107"/>
      <c r="F26" s="108"/>
      <c r="G26" s="108"/>
      <c r="H26" s="61"/>
      <c r="I26" s="62"/>
      <c r="J26" s="237"/>
      <c r="K26" s="59"/>
      <c r="L26" s="53"/>
    </row>
    <row r="27" spans="2:12" x14ac:dyDescent="0.25">
      <c r="B27" s="100"/>
      <c r="C27" s="95"/>
      <c r="D27" s="107"/>
      <c r="E27" s="107"/>
      <c r="F27" s="108"/>
      <c r="G27" s="108"/>
      <c r="H27" s="61"/>
      <c r="I27" s="62"/>
      <c r="J27" s="237"/>
      <c r="K27" s="59"/>
      <c r="L27" s="53"/>
    </row>
    <row r="28" spans="2:12" x14ac:dyDescent="0.25">
      <c r="B28" s="100"/>
      <c r="C28" s="96" t="s">
        <v>36</v>
      </c>
      <c r="D28" s="107"/>
      <c r="E28" s="107"/>
      <c r="F28" s="108"/>
      <c r="G28" s="108"/>
      <c r="H28" s="61"/>
      <c r="I28" s="62"/>
      <c r="J28" s="237"/>
      <c r="K28" s="59"/>
      <c r="L28" s="53"/>
    </row>
    <row r="29" spans="2:12" x14ac:dyDescent="0.25">
      <c r="B29" s="100"/>
      <c r="C29" s="95" t="s">
        <v>37</v>
      </c>
      <c r="D29" s="109"/>
      <c r="E29" s="109"/>
      <c r="F29" s="109"/>
      <c r="G29" s="109"/>
      <c r="H29" s="65"/>
      <c r="I29" s="11"/>
      <c r="J29" s="173"/>
      <c r="L29" s="53"/>
    </row>
    <row r="30" spans="2:12" x14ac:dyDescent="0.25">
      <c r="B30" s="100"/>
      <c r="C30" s="95" t="s">
        <v>84</v>
      </c>
      <c r="D30" s="109"/>
      <c r="E30" s="109"/>
      <c r="F30" s="109"/>
      <c r="G30" s="109"/>
      <c r="H30" s="65"/>
      <c r="I30" s="11"/>
      <c r="J30" s="173"/>
      <c r="L30" s="53"/>
    </row>
    <row r="31" spans="2:12" x14ac:dyDescent="0.25">
      <c r="B31" s="100"/>
      <c r="C31" s="95"/>
      <c r="D31" s="109"/>
      <c r="E31" s="109"/>
      <c r="F31" s="109"/>
      <c r="G31" s="110"/>
      <c r="H31" s="109"/>
      <c r="I31" s="11"/>
      <c r="J31" s="173"/>
      <c r="L31" s="53"/>
    </row>
    <row r="32" spans="2:12" x14ac:dyDescent="0.25">
      <c r="B32" s="100"/>
      <c r="C32" s="167" t="s">
        <v>426</v>
      </c>
      <c r="D32" s="343"/>
      <c r="E32" s="343"/>
      <c r="F32" s="343"/>
      <c r="G32" s="344"/>
      <c r="H32" s="343"/>
      <c r="I32" s="11"/>
      <c r="J32" s="173"/>
      <c r="L32" s="53"/>
    </row>
    <row r="33" spans="2:12" ht="49.9" customHeight="1" x14ac:dyDescent="0.25">
      <c r="B33" s="100"/>
      <c r="C33" s="570" t="s">
        <v>454</v>
      </c>
      <c r="D33" s="571"/>
      <c r="E33" s="571"/>
      <c r="F33" s="571"/>
      <c r="G33" s="572"/>
      <c r="H33" s="355"/>
      <c r="I33" s="11"/>
      <c r="J33" s="174"/>
      <c r="K33" s="24"/>
      <c r="L33" s="53"/>
    </row>
    <row r="34" spans="2:12" ht="33.6" customHeight="1" x14ac:dyDescent="0.25">
      <c r="B34" s="100"/>
      <c r="C34" s="570" t="s">
        <v>455</v>
      </c>
      <c r="D34" s="571"/>
      <c r="E34" s="571"/>
      <c r="F34" s="571"/>
      <c r="G34" s="572"/>
      <c r="H34" s="367"/>
      <c r="I34" s="11"/>
      <c r="J34" s="174"/>
      <c r="K34" s="24"/>
      <c r="L34" s="53"/>
    </row>
    <row r="35" spans="2:12" ht="36.6" customHeight="1" x14ac:dyDescent="0.25">
      <c r="B35" s="100"/>
      <c r="C35" s="570" t="s">
        <v>456</v>
      </c>
      <c r="D35" s="571"/>
      <c r="E35" s="571"/>
      <c r="F35" s="571"/>
      <c r="G35" s="572"/>
      <c r="H35" s="355"/>
      <c r="I35" s="11"/>
      <c r="J35" s="174"/>
      <c r="K35" s="24"/>
      <c r="L35" s="53"/>
    </row>
    <row r="36" spans="2:12" ht="18" customHeight="1" x14ac:dyDescent="0.25">
      <c r="B36" s="100"/>
      <c r="C36" s="349"/>
      <c r="D36" s="357"/>
      <c r="E36" s="357"/>
      <c r="F36" s="357"/>
      <c r="G36" s="356"/>
      <c r="H36" s="369"/>
      <c r="I36" s="53"/>
      <c r="J36" s="174"/>
      <c r="K36" s="24"/>
      <c r="L36" s="53"/>
    </row>
    <row r="37" spans="2:12" ht="18.600000000000001" customHeight="1" x14ac:dyDescent="0.25">
      <c r="B37" s="100"/>
      <c r="C37" s="570" t="s">
        <v>464</v>
      </c>
      <c r="D37" s="571"/>
      <c r="E37" s="571"/>
      <c r="F37" s="571"/>
      <c r="G37" s="572"/>
      <c r="H37" s="370"/>
      <c r="I37" s="367"/>
      <c r="J37" s="174"/>
      <c r="K37" s="24"/>
      <c r="L37" s="53"/>
    </row>
    <row r="38" spans="2:12" ht="25.9" customHeight="1" x14ac:dyDescent="0.25">
      <c r="B38" s="101"/>
      <c r="C38" s="366"/>
      <c r="D38"/>
      <c r="E38"/>
      <c r="F38"/>
      <c r="G38"/>
      <c r="H38" s="368"/>
      <c r="I38" s="10"/>
      <c r="J38" s="238" t="s">
        <v>6</v>
      </c>
      <c r="K38" s="72" t="s">
        <v>5</v>
      </c>
      <c r="L38" s="69">
        <f>L11</f>
        <v>15000</v>
      </c>
    </row>
    <row r="39" spans="2:12" ht="34.5" customHeight="1" x14ac:dyDescent="0.25">
      <c r="B39" s="88" t="s">
        <v>4</v>
      </c>
      <c r="C39" s="477" t="s">
        <v>448</v>
      </c>
      <c r="D39" s="478"/>
      <c r="E39" s="478"/>
      <c r="F39" s="478"/>
      <c r="G39" s="478"/>
      <c r="H39" s="478"/>
      <c r="I39" s="478"/>
      <c r="J39" s="478"/>
      <c r="K39" s="478"/>
      <c r="L39" s="479"/>
    </row>
    <row r="40" spans="2:12" x14ac:dyDescent="0.25">
      <c r="B40" s="136"/>
      <c r="C40" s="137"/>
      <c r="D40" s="138"/>
      <c r="E40" s="138"/>
      <c r="F40" s="138"/>
      <c r="G40" s="138"/>
      <c r="H40" s="138"/>
      <c r="I40" s="138"/>
      <c r="J40" s="138"/>
      <c r="K40" s="138"/>
      <c r="L40" s="141"/>
    </row>
    <row r="41" spans="2:12" x14ac:dyDescent="0.25">
      <c r="B41" s="73"/>
      <c r="C41" s="445"/>
      <c r="D41" s="444"/>
      <c r="E41" s="444"/>
      <c r="F41" s="444"/>
      <c r="G41" s="444"/>
      <c r="H41" s="441" t="s">
        <v>3</v>
      </c>
      <c r="I41" s="442"/>
      <c r="J41" s="442"/>
      <c r="K41" s="442"/>
      <c r="L41" s="443"/>
    </row>
    <row r="42" spans="2:12" ht="12.75" customHeight="1" x14ac:dyDescent="0.25">
      <c r="B42" s="25"/>
      <c r="C42" s="450"/>
      <c r="D42" s="480"/>
      <c r="E42" s="480"/>
      <c r="F42" s="480"/>
      <c r="G42" s="451"/>
      <c r="H42" s="454"/>
      <c r="I42" s="455"/>
      <c r="J42" s="455"/>
      <c r="K42" s="455"/>
      <c r="L42" s="456"/>
    </row>
    <row r="43" spans="2:12" ht="22.9" customHeight="1" x14ac:dyDescent="0.25">
      <c r="B43" s="78" t="s">
        <v>2</v>
      </c>
      <c r="C43" s="452"/>
      <c r="D43" s="481"/>
      <c r="E43" s="481"/>
      <c r="F43" s="481"/>
      <c r="G43" s="453"/>
      <c r="H43" s="457"/>
      <c r="I43" s="458"/>
      <c r="J43" s="458"/>
      <c r="K43" s="458"/>
      <c r="L43" s="459"/>
    </row>
    <row r="44" spans="2:12" x14ac:dyDescent="0.25">
      <c r="B44" s="78" t="s">
        <v>1</v>
      </c>
      <c r="C44" s="440" t="s">
        <v>216</v>
      </c>
      <c r="D44" s="440"/>
      <c r="E44" s="440"/>
      <c r="F44" s="440"/>
      <c r="G44" s="440"/>
      <c r="H44" s="441" t="s">
        <v>380</v>
      </c>
      <c r="I44" s="442"/>
      <c r="J44" s="442"/>
      <c r="K44" s="442"/>
      <c r="L44" s="443"/>
    </row>
    <row r="45" spans="2:12" x14ac:dyDescent="0.25">
      <c r="B45" s="83" t="s">
        <v>0</v>
      </c>
      <c r="C45" s="444" t="s">
        <v>457</v>
      </c>
      <c r="D45" s="444"/>
      <c r="E45" s="444"/>
      <c r="F45" s="444"/>
      <c r="G45" s="444"/>
      <c r="H45" s="445" t="s">
        <v>32</v>
      </c>
      <c r="I45" s="444"/>
      <c r="J45" s="444"/>
      <c r="K45" s="444"/>
      <c r="L45" s="446"/>
    </row>
  </sheetData>
  <mergeCells count="32">
    <mergeCell ref="C44:G44"/>
    <mergeCell ref="H44:L44"/>
    <mergeCell ref="C45:G45"/>
    <mergeCell ref="H45:L45"/>
    <mergeCell ref="C33:G33"/>
    <mergeCell ref="C34:G34"/>
    <mergeCell ref="C35:G35"/>
    <mergeCell ref="C37:G37"/>
    <mergeCell ref="C39:L39"/>
    <mergeCell ref="C41:G41"/>
    <mergeCell ref="H41:L41"/>
    <mergeCell ref="C42:G43"/>
    <mergeCell ref="H42:L43"/>
    <mergeCell ref="C14:G14"/>
    <mergeCell ref="C21:G21"/>
    <mergeCell ref="C22:G22"/>
    <mergeCell ref="C23:G23"/>
    <mergeCell ref="C18:G18"/>
    <mergeCell ref="C19:G19"/>
    <mergeCell ref="C20:G20"/>
    <mergeCell ref="C13:D13"/>
    <mergeCell ref="B1:L1"/>
    <mergeCell ref="B2:L2"/>
    <mergeCell ref="B3:L3"/>
    <mergeCell ref="C5:H5"/>
    <mergeCell ref="C7:G7"/>
    <mergeCell ref="K7:L7"/>
    <mergeCell ref="C8:G9"/>
    <mergeCell ref="D10:E10"/>
    <mergeCell ref="F10:G10"/>
    <mergeCell ref="D11:E11"/>
    <mergeCell ref="F11:G11"/>
  </mergeCells>
  <pageMargins left="0.23622047244094491" right="0.23622047244094491" top="1.1417322834645669" bottom="0.74803149606299213" header="0.31496062992125984" footer="0.31496062992125984"/>
  <pageSetup paperSize="9" scale="72"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2A90-9BAD-40A9-9DE9-1CBC736F0382}">
  <sheetPr>
    <tabColor rgb="FFFFC000"/>
    <pageSetUpPr fitToPage="1"/>
  </sheetPr>
  <dimension ref="B1:R78"/>
  <sheetViews>
    <sheetView view="pageBreakPreview" topLeftCell="A13" zoomScale="85" zoomScaleNormal="100" zoomScaleSheetLayoutView="85" workbookViewId="0">
      <selection activeCell="E18" sqref="E18"/>
    </sheetView>
  </sheetViews>
  <sheetFormatPr defaultColWidth="9.140625" defaultRowHeight="15.75" x14ac:dyDescent="0.25"/>
  <cols>
    <col min="1" max="1" width="9.140625" style="1"/>
    <col min="2" max="2" width="15.140625" style="1" customWidth="1"/>
    <col min="3" max="3" width="14"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497" t="s">
        <v>28</v>
      </c>
      <c r="C1" s="498"/>
      <c r="D1" s="498"/>
      <c r="E1" s="498"/>
      <c r="F1" s="498"/>
      <c r="G1" s="498"/>
      <c r="H1" s="498"/>
      <c r="I1" s="498"/>
      <c r="J1" s="498"/>
      <c r="K1" s="498"/>
      <c r="L1" s="498"/>
      <c r="M1" s="498"/>
      <c r="N1" s="499"/>
      <c r="O1" s="32"/>
      <c r="P1" s="32"/>
      <c r="Q1" s="32"/>
      <c r="R1" s="32"/>
    </row>
    <row r="2" spans="2:18" ht="18" x14ac:dyDescent="0.25">
      <c r="B2" s="423" t="s">
        <v>27</v>
      </c>
      <c r="C2" s="423"/>
      <c r="D2" s="423"/>
      <c r="E2" s="423"/>
      <c r="F2" s="423"/>
      <c r="G2" s="423"/>
      <c r="H2" s="423"/>
      <c r="I2" s="423"/>
      <c r="J2" s="423"/>
      <c r="K2" s="423"/>
      <c r="L2" s="423"/>
      <c r="M2" s="423"/>
      <c r="N2" s="423"/>
    </row>
    <row r="3" spans="2:18" ht="99" customHeight="1" x14ac:dyDescent="0.25">
      <c r="B3" s="500" t="s">
        <v>401</v>
      </c>
      <c r="C3" s="501"/>
      <c r="D3" s="501"/>
      <c r="E3" s="501"/>
      <c r="F3" s="501"/>
      <c r="G3" s="501"/>
      <c r="H3" s="501"/>
      <c r="I3" s="501"/>
      <c r="J3" s="501"/>
      <c r="K3" s="501"/>
      <c r="L3" s="501"/>
      <c r="M3" s="501"/>
      <c r="N3" s="502"/>
    </row>
    <row r="4" spans="2:18" ht="34.15" customHeight="1" x14ac:dyDescent="0.25">
      <c r="B4" s="73"/>
      <c r="C4" s="74"/>
      <c r="D4" s="74"/>
      <c r="E4" s="74"/>
      <c r="F4" s="74"/>
      <c r="G4" s="74"/>
      <c r="H4" s="74"/>
      <c r="I4" s="75"/>
      <c r="J4" s="75"/>
      <c r="K4" s="29" t="s">
        <v>447</v>
      </c>
      <c r="L4" s="28"/>
      <c r="M4" s="29"/>
      <c r="N4" s="26" t="s">
        <v>444</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47</v>
      </c>
      <c r="D6" s="71"/>
      <c r="E6" s="71"/>
      <c r="F6" s="71"/>
      <c r="G6" s="71"/>
      <c r="H6" s="71"/>
      <c r="I6" s="72"/>
      <c r="J6" s="21"/>
      <c r="K6" s="20" t="s">
        <v>23</v>
      </c>
      <c r="L6" s="77"/>
      <c r="M6" s="20"/>
      <c r="N6" s="19" t="s">
        <v>22</v>
      </c>
    </row>
    <row r="7" spans="2:18" ht="30.6" customHeight="1" x14ac:dyDescent="0.25">
      <c r="B7" s="276" t="s">
        <v>29</v>
      </c>
      <c r="C7" s="500" t="s">
        <v>19</v>
      </c>
      <c r="D7" s="501"/>
      <c r="E7" s="501"/>
      <c r="F7" s="501"/>
      <c r="G7" s="501"/>
      <c r="H7" s="501"/>
      <c r="I7" s="502"/>
      <c r="J7" s="249" t="s">
        <v>21</v>
      </c>
      <c r="K7" s="249" t="s">
        <v>20</v>
      </c>
      <c r="L7" s="18" t="s">
        <v>18</v>
      </c>
      <c r="M7" s="500" t="s">
        <v>17</v>
      </c>
      <c r="N7" s="502"/>
    </row>
    <row r="8" spans="2:18" ht="39" customHeight="1" x14ac:dyDescent="0.25">
      <c r="B8" s="277"/>
      <c r="C8" s="278"/>
      <c r="D8" s="92"/>
      <c r="E8" s="92"/>
      <c r="F8" s="92"/>
      <c r="G8" s="92"/>
      <c r="H8" s="92"/>
      <c r="I8" s="92"/>
      <c r="J8" s="33"/>
      <c r="K8" s="16"/>
      <c r="L8" s="17"/>
      <c r="M8" s="16"/>
      <c r="N8" s="15"/>
    </row>
    <row r="9" spans="2:18" x14ac:dyDescent="0.25">
      <c r="B9" s="78"/>
      <c r="C9" s="523" t="s">
        <v>448</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17.2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166</v>
      </c>
      <c r="D13" s="564"/>
      <c r="E13" s="564"/>
      <c r="F13" s="564"/>
      <c r="G13" s="564"/>
      <c r="H13" s="564"/>
      <c r="I13" s="439"/>
      <c r="J13" s="279"/>
      <c r="K13" s="25"/>
      <c r="L13" s="79"/>
      <c r="M13" s="25"/>
      <c r="N13" s="80"/>
    </row>
    <row r="14" spans="2:18" ht="15.75" customHeight="1" x14ac:dyDescent="0.25">
      <c r="B14" s="78"/>
      <c r="C14" s="438" t="s">
        <v>449</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33" customHeight="1" x14ac:dyDescent="0.25">
      <c r="B17" s="78"/>
      <c r="C17" s="256" t="s">
        <v>21</v>
      </c>
      <c r="D17" s="641" t="s">
        <v>41</v>
      </c>
      <c r="E17" s="638"/>
      <c r="F17" s="256" t="s">
        <v>12</v>
      </c>
      <c r="G17" s="469" t="s">
        <v>11</v>
      </c>
      <c r="H17" s="469"/>
      <c r="I17" s="231" t="s">
        <v>10</v>
      </c>
      <c r="J17" s="36"/>
      <c r="K17" s="25"/>
      <c r="L17" s="79"/>
      <c r="M17" s="25"/>
      <c r="N17" s="80"/>
    </row>
    <row r="18" spans="2:14" ht="52.9" customHeight="1" x14ac:dyDescent="0.25">
      <c r="B18" s="78"/>
      <c r="C18" s="354">
        <v>30</v>
      </c>
      <c r="D18" s="220" t="s">
        <v>51</v>
      </c>
      <c r="E18" s="220" t="s">
        <v>145</v>
      </c>
      <c r="F18" s="282" t="s">
        <v>450</v>
      </c>
      <c r="G18" s="506" t="s">
        <v>391</v>
      </c>
      <c r="H18" s="506"/>
      <c r="I18" s="283"/>
      <c r="J18" s="219">
        <v>80</v>
      </c>
      <c r="K18" s="25"/>
      <c r="L18" s="98">
        <v>200</v>
      </c>
      <c r="M18" s="25"/>
      <c r="N18" s="82">
        <f>J18*L18</f>
        <v>16000</v>
      </c>
    </row>
    <row r="19" spans="2:14" ht="18" customHeight="1" x14ac:dyDescent="0.25">
      <c r="B19" s="78"/>
      <c r="C19" s="529"/>
      <c r="D19" s="530"/>
      <c r="E19" s="530"/>
      <c r="F19" s="530"/>
      <c r="G19" s="530"/>
      <c r="H19" s="530"/>
      <c r="I19" s="473"/>
      <c r="J19" s="257"/>
      <c r="K19" s="24"/>
      <c r="L19" s="79"/>
      <c r="M19" s="25"/>
      <c r="N19" s="80"/>
    </row>
    <row r="20" spans="2:14" ht="15.75" customHeight="1" x14ac:dyDescent="0.25">
      <c r="B20" s="78"/>
      <c r="C20" s="221"/>
      <c r="D20" s="221"/>
      <c r="E20" s="221"/>
      <c r="F20" s="221"/>
      <c r="G20" s="221"/>
      <c r="H20" s="221"/>
      <c r="I20" s="135"/>
      <c r="J20" s="135"/>
      <c r="K20" s="24"/>
      <c r="L20" s="79"/>
      <c r="M20" s="25"/>
      <c r="N20" s="80"/>
    </row>
    <row r="21" spans="2:14" ht="15.75" customHeight="1" x14ac:dyDescent="0.25">
      <c r="B21" s="78"/>
      <c r="C21" s="591" t="s">
        <v>151</v>
      </c>
      <c r="D21" s="592"/>
      <c r="E21" s="592"/>
      <c r="F21" s="592"/>
      <c r="G21" s="592"/>
      <c r="H21" s="592"/>
      <c r="I21" s="596"/>
      <c r="J21" s="135"/>
      <c r="K21" s="25"/>
      <c r="L21" s="79"/>
      <c r="M21" s="25"/>
      <c r="N21" s="80"/>
    </row>
    <row r="22" spans="2:14" ht="15" customHeight="1" x14ac:dyDescent="0.25">
      <c r="B22" s="78"/>
      <c r="C22" s="338" t="s">
        <v>419</v>
      </c>
      <c r="D22"/>
      <c r="E22"/>
      <c r="F22"/>
      <c r="G22" s="339"/>
      <c r="H22" s="339"/>
      <c r="I22" s="340"/>
      <c r="J22" s="314"/>
      <c r="K22" s="25"/>
      <c r="L22" s="79"/>
      <c r="M22" s="25"/>
      <c r="N22" s="80"/>
    </row>
    <row r="23" spans="2:14" ht="15.75" customHeight="1" x14ac:dyDescent="0.25">
      <c r="B23" s="78"/>
      <c r="C23" s="341" t="s">
        <v>420</v>
      </c>
      <c r="D23"/>
      <c r="E23"/>
      <c r="F23"/>
      <c r="G23" s="339"/>
      <c r="H23" s="339"/>
      <c r="I23" s="340"/>
      <c r="J23" s="252"/>
      <c r="K23" s="25"/>
      <c r="L23" s="79"/>
      <c r="M23" s="25"/>
      <c r="N23" s="80"/>
    </row>
    <row r="24" spans="2:14" ht="15.75" customHeight="1" x14ac:dyDescent="0.25">
      <c r="B24" s="78"/>
      <c r="C24" s="341" t="s">
        <v>160</v>
      </c>
      <c r="D24"/>
      <c r="E24"/>
      <c r="F24"/>
      <c r="G24" s="339"/>
      <c r="H24" s="339"/>
      <c r="I24" s="340"/>
      <c r="J24" s="314"/>
      <c r="K24" s="25"/>
      <c r="L24" s="79"/>
      <c r="M24" s="25"/>
      <c r="N24" s="80"/>
    </row>
    <row r="25" spans="2:14" ht="15.75" customHeight="1" x14ac:dyDescent="0.25">
      <c r="B25" s="78"/>
      <c r="C25" s="341" t="s">
        <v>421</v>
      </c>
      <c r="D25"/>
      <c r="E25"/>
      <c r="F25"/>
      <c r="G25" s="339"/>
      <c r="H25" s="339"/>
      <c r="I25" s="340"/>
      <c r="J25" s="314"/>
      <c r="K25" s="25"/>
      <c r="L25" s="79"/>
      <c r="M25" s="25"/>
      <c r="N25" s="80"/>
    </row>
    <row r="26" spans="2:14" ht="15.75" customHeight="1" x14ac:dyDescent="0.25">
      <c r="B26" s="78"/>
      <c r="C26" s="593" t="s">
        <v>422</v>
      </c>
      <c r="D26" s="594"/>
      <c r="E26" s="594"/>
      <c r="F26" s="594"/>
      <c r="G26" s="594"/>
      <c r="H26" s="594"/>
      <c r="I26" s="595"/>
      <c r="J26" s="94"/>
      <c r="K26" s="25"/>
      <c r="L26" s="79"/>
      <c r="M26" s="25"/>
      <c r="N26" s="80"/>
    </row>
    <row r="27" spans="2:14" ht="15.75" customHeight="1" x14ac:dyDescent="0.25">
      <c r="B27" s="78"/>
      <c r="C27" s="593" t="s">
        <v>153</v>
      </c>
      <c r="D27" s="594"/>
      <c r="E27" s="594"/>
      <c r="F27" s="594"/>
      <c r="G27" s="594"/>
      <c r="H27" s="594"/>
      <c r="I27" s="595"/>
      <c r="J27" s="315"/>
      <c r="K27" s="25"/>
      <c r="L27" s="79"/>
      <c r="M27" s="25"/>
      <c r="N27" s="80"/>
    </row>
    <row r="28" spans="2:14" ht="15.75" customHeight="1" x14ac:dyDescent="0.25">
      <c r="B28" s="78"/>
      <c r="C28" s="342"/>
      <c r="D28" s="343"/>
      <c r="E28" s="343"/>
      <c r="F28" s="343"/>
      <c r="G28" s="343"/>
      <c r="H28" s="343"/>
      <c r="I28" s="344"/>
      <c r="J28" s="315"/>
      <c r="K28" s="25"/>
      <c r="L28" s="79"/>
      <c r="M28" s="25"/>
      <c r="N28" s="80"/>
    </row>
    <row r="29" spans="2:14" ht="15.75" customHeight="1" x14ac:dyDescent="0.25">
      <c r="B29" s="78"/>
      <c r="C29" s="591" t="s">
        <v>155</v>
      </c>
      <c r="D29" s="592"/>
      <c r="E29" s="592"/>
      <c r="F29" s="592"/>
      <c r="G29" s="592"/>
      <c r="H29" s="592"/>
      <c r="I29" s="596"/>
      <c r="J29" s="315"/>
      <c r="K29" s="25"/>
      <c r="L29" s="79"/>
      <c r="M29" s="25"/>
      <c r="N29" s="80"/>
    </row>
    <row r="30" spans="2:14" ht="15.75" customHeight="1" x14ac:dyDescent="0.25">
      <c r="B30" s="78"/>
      <c r="C30" s="588" t="s">
        <v>423</v>
      </c>
      <c r="D30" s="589"/>
      <c r="E30" s="589"/>
      <c r="F30" s="589"/>
      <c r="G30" s="589"/>
      <c r="H30" s="589"/>
      <c r="I30" s="590"/>
      <c r="J30" s="315"/>
      <c r="K30" s="25"/>
      <c r="L30" s="79"/>
      <c r="M30" s="25"/>
      <c r="N30" s="80"/>
    </row>
    <row r="31" spans="2:14" ht="15.75" customHeight="1" x14ac:dyDescent="0.25">
      <c r="B31" s="78"/>
      <c r="C31" s="593" t="s">
        <v>156</v>
      </c>
      <c r="D31" s="594"/>
      <c r="E31" s="594"/>
      <c r="F31" s="594"/>
      <c r="G31" s="594"/>
      <c r="H31" s="594"/>
      <c r="I31" s="595"/>
      <c r="J31" s="315"/>
      <c r="K31" s="25"/>
      <c r="L31" s="79"/>
      <c r="M31" s="25"/>
      <c r="N31" s="80"/>
    </row>
    <row r="32" spans="2:14" ht="15.75" customHeight="1" x14ac:dyDescent="0.25">
      <c r="B32" s="78"/>
      <c r="C32" s="588" t="s">
        <v>157</v>
      </c>
      <c r="D32" s="589"/>
      <c r="E32" s="589"/>
      <c r="F32" s="589"/>
      <c r="G32" s="589"/>
      <c r="H32" s="589"/>
      <c r="I32" s="590"/>
      <c r="J32" s="315"/>
      <c r="K32" s="25"/>
      <c r="L32" s="79"/>
      <c r="M32" s="25"/>
      <c r="N32" s="80"/>
    </row>
    <row r="33" spans="2:15" ht="15.75" customHeight="1" x14ac:dyDescent="0.25">
      <c r="B33" s="78"/>
      <c r="C33" s="588" t="s">
        <v>158</v>
      </c>
      <c r="D33" s="589"/>
      <c r="E33" s="589"/>
      <c r="F33" s="589"/>
      <c r="G33" s="589"/>
      <c r="H33" s="589"/>
      <c r="I33" s="590"/>
      <c r="J33" s="315"/>
      <c r="K33" s="25"/>
      <c r="L33" s="79"/>
      <c r="M33" s="25"/>
      <c r="N33" s="80"/>
    </row>
    <row r="34" spans="2:15" ht="15.75" customHeight="1" x14ac:dyDescent="0.25">
      <c r="B34" s="78"/>
      <c r="C34" s="588"/>
      <c r="D34" s="589"/>
      <c r="E34" s="589"/>
      <c r="F34" s="589"/>
      <c r="G34" s="589"/>
      <c r="H34" s="589"/>
      <c r="I34" s="590"/>
      <c r="J34" s="315"/>
      <c r="K34" s="25"/>
      <c r="L34" s="79"/>
      <c r="M34" s="25"/>
      <c r="N34" s="80"/>
    </row>
    <row r="35" spans="2:15" ht="15.75" customHeight="1" x14ac:dyDescent="0.25">
      <c r="B35" s="78"/>
      <c r="C35" s="588" t="s">
        <v>424</v>
      </c>
      <c r="D35" s="589"/>
      <c r="E35" s="589"/>
      <c r="F35" s="589"/>
      <c r="G35" s="589"/>
      <c r="H35" s="589"/>
      <c r="I35" s="590"/>
      <c r="J35" s="315"/>
      <c r="K35" s="25"/>
      <c r="L35" s="79"/>
      <c r="M35" s="25"/>
      <c r="N35" s="80"/>
    </row>
    <row r="36" spans="2:15" ht="15.75" customHeight="1" x14ac:dyDescent="0.25">
      <c r="B36" s="78"/>
      <c r="C36" s="567"/>
      <c r="D36" s="568"/>
      <c r="E36" s="568"/>
      <c r="F36" s="568"/>
      <c r="G36" s="568"/>
      <c r="H36" s="568"/>
      <c r="I36" s="569"/>
      <c r="J36" s="315"/>
      <c r="K36" s="25"/>
      <c r="L36" s="79"/>
      <c r="M36" s="25"/>
      <c r="N36" s="80"/>
    </row>
    <row r="37" spans="2:15" ht="15.75" customHeight="1" x14ac:dyDescent="0.25">
      <c r="B37" s="78"/>
      <c r="C37" s="591" t="s">
        <v>162</v>
      </c>
      <c r="D37" s="592"/>
      <c r="E37" s="592"/>
      <c r="F37" s="592"/>
      <c r="G37" s="592"/>
      <c r="H37" s="339"/>
      <c r="I37" s="347"/>
      <c r="J37" s="315"/>
      <c r="K37" s="25"/>
      <c r="L37" s="79"/>
      <c r="M37" s="25"/>
      <c r="N37" s="80"/>
    </row>
    <row r="38" spans="2:15" ht="15.75" customHeight="1" x14ac:dyDescent="0.25">
      <c r="B38" s="78"/>
      <c r="C38" s="593" t="s">
        <v>163</v>
      </c>
      <c r="D38" s="594"/>
      <c r="E38" s="594"/>
      <c r="F38" s="594"/>
      <c r="G38" s="594"/>
      <c r="H38" s="343"/>
      <c r="I38" s="345"/>
      <c r="J38" s="315"/>
      <c r="K38" s="25"/>
      <c r="L38" s="79"/>
      <c r="M38" s="25"/>
      <c r="N38" s="80"/>
    </row>
    <row r="39" spans="2:15" ht="15.75" customHeight="1" x14ac:dyDescent="0.25">
      <c r="B39" s="78"/>
      <c r="C39" s="593" t="s">
        <v>425</v>
      </c>
      <c r="D39" s="594"/>
      <c r="E39" s="594"/>
      <c r="F39" s="594"/>
      <c r="G39" s="594"/>
      <c r="H39" s="343"/>
      <c r="I39" s="345"/>
      <c r="J39" s="315"/>
      <c r="K39" s="25"/>
      <c r="L39" s="79"/>
      <c r="M39" s="25"/>
      <c r="N39" s="80"/>
    </row>
    <row r="40" spans="2:15" ht="15.6" customHeight="1" x14ac:dyDescent="0.25">
      <c r="B40" s="78"/>
      <c r="C40" s="288"/>
      <c r="D40" s="289"/>
      <c r="E40" s="289"/>
      <c r="F40" s="289"/>
      <c r="G40" s="289"/>
      <c r="H40" s="289"/>
      <c r="I40" s="115"/>
      <c r="J40" s="252"/>
      <c r="K40" s="25"/>
      <c r="L40" s="79"/>
      <c r="M40" s="25"/>
      <c r="N40" s="80"/>
    </row>
    <row r="41" spans="2:15" x14ac:dyDescent="0.25">
      <c r="B41" s="78"/>
      <c r="C41" s="352" t="s">
        <v>426</v>
      </c>
      <c r="D41" s="343"/>
      <c r="E41" s="343"/>
      <c r="F41" s="343"/>
      <c r="G41" s="343"/>
      <c r="H41" s="343"/>
      <c r="I41" s="115"/>
      <c r="J41" s="94"/>
      <c r="K41" s="25"/>
      <c r="L41" s="79"/>
      <c r="M41" s="25"/>
      <c r="N41" s="80"/>
    </row>
    <row r="42" spans="2:15" ht="34.15" customHeight="1" x14ac:dyDescent="0.25">
      <c r="B42" s="78"/>
      <c r="C42" s="570" t="s">
        <v>427</v>
      </c>
      <c r="D42" s="571"/>
      <c r="E42" s="571"/>
      <c r="F42" s="571"/>
      <c r="G42" s="571"/>
      <c r="H42" s="571"/>
      <c r="I42" s="572"/>
      <c r="J42" s="252"/>
      <c r="K42" s="25"/>
      <c r="L42" s="79"/>
      <c r="M42" s="25"/>
      <c r="N42" s="80"/>
    </row>
    <row r="43" spans="2:15" ht="15.75" customHeight="1" x14ac:dyDescent="0.25">
      <c r="B43" s="78"/>
      <c r="C43" s="349"/>
      <c r="D43"/>
      <c r="E43"/>
      <c r="F43"/>
      <c r="G43"/>
      <c r="H43" s="355"/>
      <c r="I43" s="94"/>
      <c r="J43" s="252"/>
      <c r="K43" s="25"/>
      <c r="L43" s="79"/>
      <c r="M43" s="25"/>
      <c r="N43" s="80"/>
    </row>
    <row r="44" spans="2:15" ht="15.75" customHeight="1" x14ac:dyDescent="0.25">
      <c r="B44" s="78"/>
      <c r="C44" s="353" t="s">
        <v>435</v>
      </c>
      <c r="D44" s="351"/>
      <c r="E44" s="351"/>
      <c r="F44" s="351"/>
      <c r="G44" s="351"/>
      <c r="H44" s="351"/>
      <c r="I44" s="252"/>
      <c r="J44" s="252"/>
      <c r="K44" s="25"/>
      <c r="L44" s="79"/>
      <c r="M44" s="25"/>
      <c r="N44" s="80"/>
    </row>
    <row r="45" spans="2:15" ht="18" customHeight="1" x14ac:dyDescent="0.25">
      <c r="B45" s="78"/>
      <c r="C45" s="570" t="s">
        <v>429</v>
      </c>
      <c r="D45" s="573"/>
      <c r="E45" s="573"/>
      <c r="F45" s="573"/>
      <c r="G45" s="573"/>
      <c r="H45" s="574"/>
      <c r="I45" s="252"/>
      <c r="J45" s="252"/>
      <c r="K45" s="25"/>
      <c r="L45" s="79"/>
      <c r="M45" s="25"/>
      <c r="N45" s="80"/>
      <c r="O45" s="5"/>
    </row>
    <row r="46" spans="2:15" ht="18" customHeight="1" x14ac:dyDescent="0.25">
      <c r="B46" s="78"/>
      <c r="C46" s="357"/>
      <c r="D46"/>
      <c r="E46"/>
      <c r="F46"/>
      <c r="G46"/>
      <c r="H46" s="355"/>
      <c r="I46" s="252"/>
      <c r="J46" s="252"/>
      <c r="K46" s="25"/>
      <c r="L46" s="79"/>
      <c r="M46" s="25"/>
      <c r="N46" s="80"/>
      <c r="O46" s="5"/>
    </row>
    <row r="47" spans="2:15" ht="18" customHeight="1" x14ac:dyDescent="0.25">
      <c r="B47" s="78"/>
      <c r="C47" s="570" t="s">
        <v>436</v>
      </c>
      <c r="D47" s="571"/>
      <c r="E47" s="571"/>
      <c r="F47" s="571"/>
      <c r="G47" s="571"/>
      <c r="H47" s="571"/>
      <c r="I47" s="572"/>
      <c r="J47" s="252"/>
      <c r="K47" s="25"/>
      <c r="L47" s="79"/>
      <c r="M47" s="25"/>
      <c r="N47" s="80"/>
      <c r="O47" s="5"/>
    </row>
    <row r="48" spans="2:15" x14ac:dyDescent="0.25">
      <c r="B48" s="83"/>
      <c r="C48" s="475"/>
      <c r="D48" s="518"/>
      <c r="E48" s="518"/>
      <c r="F48" s="518"/>
      <c r="G48" s="518"/>
      <c r="H48" s="518"/>
      <c r="I48" s="519"/>
      <c r="J48" s="252"/>
      <c r="K48" s="25"/>
      <c r="L48" s="318" t="s">
        <v>6</v>
      </c>
      <c r="M48" s="319" t="s">
        <v>5</v>
      </c>
      <c r="N48" s="155">
        <f>SUM(N16:N45)</f>
        <v>16000</v>
      </c>
    </row>
    <row r="49" spans="2:14" x14ac:dyDescent="0.25">
      <c r="B49" s="88" t="s">
        <v>4</v>
      </c>
      <c r="C49" s="585" t="s">
        <v>445</v>
      </c>
      <c r="D49" s="586"/>
      <c r="E49" s="586"/>
      <c r="F49" s="586"/>
      <c r="G49" s="586"/>
      <c r="H49" s="586"/>
      <c r="I49" s="586"/>
      <c r="J49" s="586"/>
      <c r="K49" s="586"/>
      <c r="L49" s="586"/>
      <c r="M49" s="586"/>
      <c r="N49" s="587"/>
    </row>
    <row r="50" spans="2:14" x14ac:dyDescent="0.25">
      <c r="B50" s="73"/>
      <c r="C50" s="445"/>
      <c r="D50" s="444"/>
      <c r="E50" s="444"/>
      <c r="F50" s="444"/>
      <c r="G50" s="444"/>
      <c r="H50" s="444"/>
      <c r="I50" s="446"/>
      <c r="J50" s="441" t="s">
        <v>3</v>
      </c>
      <c r="K50" s="442"/>
      <c r="L50" s="442"/>
      <c r="M50" s="442"/>
      <c r="N50" s="443"/>
    </row>
    <row r="51" spans="2:14" ht="46.5" customHeight="1" x14ac:dyDescent="0.25">
      <c r="B51" s="78" t="s">
        <v>2</v>
      </c>
      <c r="C51" s="507"/>
      <c r="D51" s="508"/>
      <c r="E51" s="508"/>
      <c r="F51" s="508"/>
      <c r="G51" s="508"/>
      <c r="H51" s="508"/>
      <c r="I51" s="509"/>
      <c r="J51" s="445"/>
      <c r="K51" s="444"/>
      <c r="L51" s="444"/>
      <c r="M51" s="444"/>
      <c r="N51" s="446"/>
    </row>
    <row r="52" spans="2:14" x14ac:dyDescent="0.25">
      <c r="B52" s="78" t="s">
        <v>1</v>
      </c>
      <c r="C52" s="513" t="s">
        <v>216</v>
      </c>
      <c r="D52" s="440"/>
      <c r="E52" s="440"/>
      <c r="F52" s="440"/>
      <c r="G52" s="440"/>
      <c r="H52" s="440"/>
      <c r="I52" s="514"/>
      <c r="J52" s="441" t="s">
        <v>340</v>
      </c>
      <c r="K52" s="442"/>
      <c r="L52" s="442"/>
      <c r="M52" s="442"/>
      <c r="N52" s="443"/>
    </row>
    <row r="53" spans="2:14" x14ac:dyDescent="0.25">
      <c r="B53" s="83" t="s">
        <v>0</v>
      </c>
      <c r="C53" s="507" t="s">
        <v>217</v>
      </c>
      <c r="D53" s="508"/>
      <c r="E53" s="508"/>
      <c r="F53" s="508"/>
      <c r="G53" s="508"/>
      <c r="H53" s="508"/>
      <c r="I53" s="509"/>
      <c r="J53" s="445" t="s">
        <v>32</v>
      </c>
      <c r="K53" s="444"/>
      <c r="L53" s="444"/>
      <c r="M53" s="444"/>
      <c r="N53" s="446"/>
    </row>
    <row r="58" spans="2:14" ht="30.75" x14ac:dyDescent="0.25">
      <c r="B58" s="428" t="s">
        <v>19</v>
      </c>
      <c r="C58" s="462"/>
      <c r="D58" s="462"/>
      <c r="E58" s="462"/>
      <c r="F58" s="429"/>
      <c r="G58" s="143" t="s">
        <v>21</v>
      </c>
      <c r="H58" s="33" t="s">
        <v>20</v>
      </c>
      <c r="I58" s="47" t="s">
        <v>18</v>
      </c>
      <c r="J58" s="430" t="s">
        <v>17</v>
      </c>
      <c r="K58" s="431"/>
    </row>
    <row r="59" spans="2:14" x14ac:dyDescent="0.25">
      <c r="B59" s="539" t="s">
        <v>187</v>
      </c>
      <c r="C59" s="540"/>
      <c r="D59" s="540"/>
      <c r="E59" s="540"/>
      <c r="F59" s="541"/>
      <c r="G59" s="103"/>
      <c r="H59" s="11"/>
      <c r="I59" s="52"/>
      <c r="J59" s="1"/>
      <c r="K59" s="53"/>
    </row>
    <row r="60" spans="2:14" x14ac:dyDescent="0.25">
      <c r="B60" s="632"/>
      <c r="C60" s="633"/>
      <c r="D60" s="633"/>
      <c r="E60" s="633"/>
      <c r="F60" s="634"/>
      <c r="G60" s="107"/>
      <c r="H60" s="1"/>
      <c r="I60" s="169"/>
      <c r="J60" s="59"/>
      <c r="K60" s="158"/>
    </row>
    <row r="61" spans="2:14" x14ac:dyDescent="0.25">
      <c r="B61" s="60" t="s">
        <v>21</v>
      </c>
      <c r="C61" s="469" t="s">
        <v>41</v>
      </c>
      <c r="D61" s="469"/>
      <c r="E61" s="469" t="s">
        <v>42</v>
      </c>
      <c r="F61" s="469"/>
      <c r="G61" s="231"/>
      <c r="H61" s="232"/>
      <c r="I61" s="233"/>
      <c r="J61" s="229"/>
      <c r="K61" s="234"/>
    </row>
    <row r="62" spans="2:14" x14ac:dyDescent="0.25">
      <c r="B62" s="60">
        <v>43</v>
      </c>
      <c r="C62" s="635" t="s">
        <v>188</v>
      </c>
      <c r="D62" s="636"/>
      <c r="E62" s="637">
        <v>44995</v>
      </c>
      <c r="F62" s="638"/>
      <c r="G62" s="224">
        <v>43</v>
      </c>
      <c r="H62" s="12" t="s">
        <v>53</v>
      </c>
      <c r="I62" s="236">
        <v>1100</v>
      </c>
      <c r="J62" s="59"/>
      <c r="K62" s="158">
        <f>G62*I62</f>
        <v>47300</v>
      </c>
    </row>
    <row r="63" spans="2:14" x14ac:dyDescent="0.25">
      <c r="B63" s="64"/>
      <c r="C63" s="235"/>
      <c r="D63" s="235"/>
      <c r="E63" s="223"/>
      <c r="F63" s="107"/>
      <c r="G63" s="36"/>
      <c r="H63" s="11"/>
      <c r="I63" s="173"/>
      <c r="J63" s="59"/>
      <c r="K63" s="226"/>
    </row>
    <row r="64" spans="2:14" x14ac:dyDescent="0.25">
      <c r="B64" s="628" t="s">
        <v>113</v>
      </c>
      <c r="C64" s="629"/>
      <c r="D64" s="235"/>
      <c r="E64" s="223"/>
      <c r="F64" s="107"/>
      <c r="G64" s="36"/>
      <c r="H64" s="11"/>
      <c r="I64" s="173"/>
      <c r="J64" s="59"/>
      <c r="K64" s="226"/>
    </row>
    <row r="65" spans="2:11" x14ac:dyDescent="0.25">
      <c r="B65" s="639" t="s">
        <v>114</v>
      </c>
      <c r="C65" s="640"/>
      <c r="D65" s="640"/>
      <c r="E65" s="223"/>
      <c r="F65" s="153"/>
      <c r="G65" s="61"/>
      <c r="H65" s="11"/>
      <c r="I65" s="173"/>
      <c r="J65" s="59"/>
      <c r="K65" s="158"/>
    </row>
    <row r="66" spans="2:11" x14ac:dyDescent="0.25">
      <c r="B66" s="239" t="s">
        <v>189</v>
      </c>
      <c r="C66" s="240"/>
      <c r="D66" s="240"/>
      <c r="E66" s="223"/>
      <c r="F66" s="153"/>
      <c r="G66" s="61"/>
      <c r="H66" s="11"/>
      <c r="I66" s="173"/>
      <c r="J66" s="59"/>
      <c r="K66" s="158"/>
    </row>
    <row r="67" spans="2:11" x14ac:dyDescent="0.25">
      <c r="B67" s="239"/>
      <c r="C67" s="240"/>
      <c r="D67" s="240"/>
      <c r="E67" s="223"/>
      <c r="F67" s="153"/>
      <c r="G67" s="61"/>
      <c r="H67" s="11"/>
      <c r="I67" s="173"/>
      <c r="J67" s="59"/>
      <c r="K67" s="158"/>
    </row>
    <row r="68" spans="2:11" x14ac:dyDescent="0.25">
      <c r="B68" s="96" t="s">
        <v>33</v>
      </c>
      <c r="C68" s="107"/>
      <c r="D68" s="107"/>
      <c r="E68" s="108"/>
      <c r="F68" s="108"/>
      <c r="G68" s="61"/>
      <c r="H68" s="62"/>
      <c r="I68" s="237"/>
      <c r="J68" s="59"/>
      <c r="K68" s="53"/>
    </row>
    <row r="69" spans="2:11" x14ac:dyDescent="0.25">
      <c r="B69" s="95" t="s">
        <v>34</v>
      </c>
      <c r="C69" s="107"/>
      <c r="D69" s="107"/>
      <c r="E69" s="108"/>
      <c r="F69" s="108"/>
      <c r="G69" s="61"/>
      <c r="H69" s="62"/>
      <c r="I69" s="237"/>
      <c r="J69" s="59"/>
      <c r="K69" s="53"/>
    </row>
    <row r="70" spans="2:11" x14ac:dyDescent="0.25">
      <c r="B70" s="95" t="s">
        <v>35</v>
      </c>
      <c r="C70" s="107"/>
      <c r="D70" s="107"/>
      <c r="E70" s="108"/>
      <c r="F70" s="108"/>
      <c r="G70" s="61"/>
      <c r="H70" s="62"/>
      <c r="I70" s="237"/>
      <c r="J70" s="59"/>
      <c r="K70" s="53"/>
    </row>
    <row r="71" spans="2:11" x14ac:dyDescent="0.25">
      <c r="B71" s="95"/>
      <c r="C71" s="107"/>
      <c r="D71" s="107"/>
      <c r="E71" s="108"/>
      <c r="F71" s="108"/>
      <c r="G71" s="61"/>
      <c r="H71" s="62"/>
      <c r="I71" s="237"/>
      <c r="J71" s="59"/>
      <c r="K71" s="53"/>
    </row>
    <row r="72" spans="2:11" x14ac:dyDescent="0.25">
      <c r="B72" s="96" t="s">
        <v>36</v>
      </c>
      <c r="C72" s="107"/>
      <c r="D72" s="107"/>
      <c r="E72" s="108"/>
      <c r="F72" s="108"/>
      <c r="G72" s="61"/>
      <c r="H72" s="62"/>
      <c r="I72" s="237"/>
      <c r="J72" s="59"/>
      <c r="K72" s="53"/>
    </row>
    <row r="73" spans="2:11" x14ac:dyDescent="0.25">
      <c r="B73" s="95" t="s">
        <v>37</v>
      </c>
      <c r="C73" s="109"/>
      <c r="D73" s="109"/>
      <c r="E73" s="109"/>
      <c r="F73" s="109"/>
      <c r="G73" s="65"/>
      <c r="H73" s="11"/>
      <c r="I73" s="173"/>
      <c r="J73" s="1"/>
      <c r="K73" s="53"/>
    </row>
    <row r="74" spans="2:11" x14ac:dyDescent="0.25">
      <c r="B74" s="95" t="s">
        <v>84</v>
      </c>
      <c r="C74" s="109"/>
      <c r="D74" s="109"/>
      <c r="E74" s="109"/>
      <c r="F74" s="109"/>
      <c r="G74" s="65"/>
      <c r="H74" s="11"/>
      <c r="I74" s="173"/>
      <c r="J74" s="1"/>
      <c r="K74" s="53"/>
    </row>
    <row r="75" spans="2:11" x14ac:dyDescent="0.25">
      <c r="B75" s="95"/>
      <c r="C75" s="109"/>
      <c r="D75" s="109"/>
      <c r="E75" s="109"/>
      <c r="F75" s="109"/>
      <c r="G75" s="65"/>
      <c r="H75" s="11"/>
      <c r="I75" s="173"/>
      <c r="J75" s="1"/>
      <c r="K75" s="53"/>
    </row>
    <row r="76" spans="2:11" x14ac:dyDescent="0.25">
      <c r="B76" s="56" t="s">
        <v>8</v>
      </c>
      <c r="C76" s="104"/>
      <c r="D76" s="104"/>
      <c r="E76" s="104"/>
      <c r="F76" s="104"/>
      <c r="G76" s="57"/>
      <c r="H76" s="11"/>
      <c r="I76" s="174"/>
      <c r="J76" s="24"/>
      <c r="K76" s="53"/>
    </row>
    <row r="77" spans="2:11" x14ac:dyDescent="0.25">
      <c r="B77" s="54" t="s">
        <v>7</v>
      </c>
      <c r="C77" s="102"/>
      <c r="D77" s="102"/>
      <c r="E77" s="102"/>
      <c r="F77" s="102"/>
      <c r="G77" s="55"/>
      <c r="H77" s="11"/>
      <c r="I77" s="174"/>
      <c r="J77" s="24"/>
      <c r="K77" s="53"/>
    </row>
    <row r="78" spans="2:11" x14ac:dyDescent="0.25">
      <c r="B78" s="66"/>
      <c r="C78" s="67"/>
      <c r="D78" s="67"/>
      <c r="E78" s="67"/>
      <c r="F78" s="67"/>
      <c r="G78" s="68"/>
      <c r="H78" s="10"/>
      <c r="I78" s="238" t="s">
        <v>6</v>
      </c>
      <c r="J78" s="72" t="s">
        <v>5</v>
      </c>
      <c r="K78" s="69">
        <f>K62</f>
        <v>47300</v>
      </c>
    </row>
  </sheetData>
  <mergeCells count="51">
    <mergeCell ref="C62:D62"/>
    <mergeCell ref="E62:F62"/>
    <mergeCell ref="B64:C64"/>
    <mergeCell ref="B65:D65"/>
    <mergeCell ref="D17:E17"/>
    <mergeCell ref="C53:I53"/>
    <mergeCell ref="C49:N49"/>
    <mergeCell ref="C50:I50"/>
    <mergeCell ref="J50:N50"/>
    <mergeCell ref="C51:I51"/>
    <mergeCell ref="J51:N51"/>
    <mergeCell ref="C52:I52"/>
    <mergeCell ref="J52:N52"/>
    <mergeCell ref="C38:G38"/>
    <mergeCell ref="C39:G39"/>
    <mergeCell ref="C42:I42"/>
    <mergeCell ref="J53:N53"/>
    <mergeCell ref="B58:F58"/>
    <mergeCell ref="J58:K58"/>
    <mergeCell ref="B59:F60"/>
    <mergeCell ref="C61:D61"/>
    <mergeCell ref="E61:F61"/>
    <mergeCell ref="C45:H45"/>
    <mergeCell ref="C47:I47"/>
    <mergeCell ref="C48:I48"/>
    <mergeCell ref="C31:I31"/>
    <mergeCell ref="C32:I32"/>
    <mergeCell ref="C33:I34"/>
    <mergeCell ref="C35:I35"/>
    <mergeCell ref="C36:I36"/>
    <mergeCell ref="C37:G37"/>
    <mergeCell ref="C30:I30"/>
    <mergeCell ref="G17:H17"/>
    <mergeCell ref="G18:H18"/>
    <mergeCell ref="C11:G11"/>
    <mergeCell ref="C12:G12"/>
    <mergeCell ref="C13:I13"/>
    <mergeCell ref="C14:I14"/>
    <mergeCell ref="C15:G15"/>
    <mergeCell ref="C16:G16"/>
    <mergeCell ref="C19:I19"/>
    <mergeCell ref="C21:I21"/>
    <mergeCell ref="C26:I26"/>
    <mergeCell ref="C27:I27"/>
    <mergeCell ref="C29:I29"/>
    <mergeCell ref="C9:I10"/>
    <mergeCell ref="B1:N1"/>
    <mergeCell ref="B2:N2"/>
    <mergeCell ref="B3:N3"/>
    <mergeCell ref="C7:I7"/>
    <mergeCell ref="M7:N7"/>
  </mergeCells>
  <printOptions horizontalCentered="1"/>
  <pageMargins left="0.25" right="0.25" top="0.75" bottom="0.75" header="0.3" footer="0.3"/>
  <pageSetup paperSize="9" scale="53"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R91"/>
  <sheetViews>
    <sheetView view="pageBreakPreview" topLeftCell="A61" zoomScale="70" zoomScaleNormal="100" zoomScaleSheetLayoutView="70" workbookViewId="0">
      <selection activeCell="C81" sqref="C81:H84"/>
    </sheetView>
  </sheetViews>
  <sheetFormatPr defaultColWidth="9.140625" defaultRowHeight="15.75" x14ac:dyDescent="0.25"/>
  <cols>
    <col min="1" max="1" width="9.140625" style="1"/>
    <col min="2" max="2" width="14.5703125" style="1" customWidth="1"/>
    <col min="3" max="3" width="8.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642" t="s">
        <v>28</v>
      </c>
      <c r="C1" s="642"/>
      <c r="D1" s="642"/>
      <c r="E1" s="642"/>
      <c r="F1" s="642"/>
      <c r="G1" s="642"/>
      <c r="H1" s="642"/>
      <c r="I1" s="642"/>
      <c r="J1" s="642"/>
      <c r="K1" s="642"/>
      <c r="L1" s="642"/>
      <c r="M1" s="642"/>
      <c r="N1" s="642"/>
      <c r="O1" s="24"/>
      <c r="P1" s="24"/>
      <c r="Q1" s="24"/>
      <c r="R1" s="24"/>
    </row>
    <row r="2" spans="2:18" ht="18" x14ac:dyDescent="0.25">
      <c r="B2" s="423" t="s">
        <v>27</v>
      </c>
      <c r="C2" s="423"/>
      <c r="D2" s="423"/>
      <c r="E2" s="423"/>
      <c r="F2" s="423"/>
      <c r="G2" s="423"/>
      <c r="H2" s="423"/>
      <c r="I2" s="423"/>
      <c r="J2" s="423"/>
      <c r="K2" s="423"/>
      <c r="L2" s="423"/>
      <c r="M2" s="423"/>
      <c r="N2" s="423"/>
      <c r="O2" s="32"/>
      <c r="P2" s="32"/>
      <c r="Q2" s="32"/>
      <c r="R2" s="32"/>
    </row>
    <row r="3" spans="2:18" ht="99.75" customHeight="1" x14ac:dyDescent="0.25">
      <c r="B3" s="508" t="s">
        <v>401</v>
      </c>
      <c r="C3" s="508"/>
      <c r="D3" s="508"/>
      <c r="E3" s="508"/>
      <c r="F3" s="508"/>
      <c r="G3" s="508"/>
      <c r="H3" s="508"/>
      <c r="I3" s="508"/>
      <c r="J3" s="508"/>
      <c r="K3" s="508"/>
      <c r="L3" s="508"/>
      <c r="M3" s="508"/>
      <c r="N3" s="508"/>
    </row>
    <row r="4" spans="2:18" x14ac:dyDescent="0.25">
      <c r="B4" s="326"/>
      <c r="C4" s="326"/>
      <c r="D4" s="326"/>
      <c r="E4" s="326"/>
      <c r="F4" s="326"/>
      <c r="G4" s="326"/>
      <c r="H4" s="326"/>
      <c r="I4" s="326"/>
      <c r="J4" s="326"/>
      <c r="K4" s="326"/>
      <c r="L4" s="326"/>
      <c r="M4" s="326"/>
      <c r="N4" s="326"/>
    </row>
    <row r="5" spans="2:18" x14ac:dyDescent="0.25">
      <c r="B5" s="73"/>
      <c r="C5" s="74"/>
      <c r="D5" s="74"/>
      <c r="E5" s="74"/>
      <c r="F5" s="74"/>
      <c r="G5" s="74"/>
      <c r="H5" s="74"/>
      <c r="I5" s="75"/>
      <c r="J5" s="75"/>
      <c r="K5" s="29" t="s">
        <v>402</v>
      </c>
      <c r="L5" s="28"/>
      <c r="M5" s="29"/>
      <c r="N5" s="26" t="s">
        <v>403</v>
      </c>
    </row>
    <row r="6" spans="2:18" ht="15.75" customHeight="1" x14ac:dyDescent="0.25">
      <c r="B6" s="25" t="s">
        <v>26</v>
      </c>
      <c r="C6" s="32" t="s">
        <v>30</v>
      </c>
      <c r="D6" s="32"/>
      <c r="E6" s="32"/>
      <c r="F6" s="32"/>
      <c r="G6" s="32"/>
      <c r="H6" s="32"/>
      <c r="I6" s="32"/>
      <c r="J6" s="14"/>
      <c r="K6" s="24" t="s">
        <v>25</v>
      </c>
      <c r="L6" s="76"/>
      <c r="M6" s="24"/>
      <c r="N6" s="23" t="s">
        <v>22</v>
      </c>
    </row>
    <row r="7" spans="2:18" ht="15.75" customHeight="1" x14ac:dyDescent="0.25">
      <c r="B7" s="22" t="s">
        <v>24</v>
      </c>
      <c r="C7" s="72" t="s">
        <v>47</v>
      </c>
      <c r="D7" s="71"/>
      <c r="E7" s="71"/>
      <c r="F7" s="71"/>
      <c r="G7" s="71"/>
      <c r="H7" s="71"/>
      <c r="I7" s="72"/>
      <c r="J7" s="21"/>
      <c r="K7" s="20" t="s">
        <v>23</v>
      </c>
      <c r="L7" s="77"/>
      <c r="M7" s="20"/>
      <c r="N7" s="19" t="s">
        <v>22</v>
      </c>
    </row>
    <row r="8" spans="2:18" ht="15.75" customHeight="1" x14ac:dyDescent="0.25">
      <c r="B8" s="276" t="s">
        <v>29</v>
      </c>
      <c r="C8" s="500" t="s">
        <v>19</v>
      </c>
      <c r="D8" s="501"/>
      <c r="E8" s="501"/>
      <c r="F8" s="501"/>
      <c r="G8" s="501"/>
      <c r="H8" s="501"/>
      <c r="I8" s="502"/>
      <c r="J8" s="249" t="s">
        <v>21</v>
      </c>
      <c r="K8" s="249" t="s">
        <v>20</v>
      </c>
      <c r="L8" s="18" t="s">
        <v>18</v>
      </c>
      <c r="M8" s="643" t="s">
        <v>17</v>
      </c>
      <c r="N8" s="643"/>
    </row>
    <row r="9" spans="2:18" x14ac:dyDescent="0.25">
      <c r="B9" s="277"/>
      <c r="C9" s="278"/>
      <c r="D9" s="92"/>
      <c r="E9" s="92"/>
      <c r="F9" s="92"/>
      <c r="G9" s="92"/>
      <c r="H9" s="92"/>
      <c r="I9" s="92"/>
      <c r="J9" s="33"/>
      <c r="K9" s="16"/>
      <c r="L9" s="17"/>
      <c r="M9" s="16"/>
      <c r="N9" s="15"/>
    </row>
    <row r="10" spans="2:18" ht="15.75" customHeight="1" x14ac:dyDescent="0.25">
      <c r="B10" s="78"/>
      <c r="C10" s="523" t="s">
        <v>404</v>
      </c>
      <c r="D10" s="524"/>
      <c r="E10" s="524"/>
      <c r="F10" s="524"/>
      <c r="G10" s="524"/>
      <c r="H10" s="524"/>
      <c r="I10" s="525"/>
      <c r="J10" s="34"/>
      <c r="K10" s="25"/>
      <c r="L10" s="79"/>
      <c r="M10" s="25"/>
      <c r="N10" s="80"/>
    </row>
    <row r="11" spans="2:18" ht="15.75" customHeight="1" x14ac:dyDescent="0.25">
      <c r="B11" s="78"/>
      <c r="C11" s="523"/>
      <c r="D11" s="524"/>
      <c r="E11" s="524"/>
      <c r="F11" s="524"/>
      <c r="G11" s="524"/>
      <c r="H11" s="524"/>
      <c r="I11" s="525"/>
      <c r="J11" s="34"/>
      <c r="K11" s="25"/>
      <c r="L11" s="79"/>
      <c r="M11" s="25"/>
      <c r="N11" s="80"/>
    </row>
    <row r="12" spans="2:18" ht="16.149999999999999" customHeight="1" x14ac:dyDescent="0.25">
      <c r="B12" s="78"/>
      <c r="C12" s="562"/>
      <c r="D12" s="527"/>
      <c r="E12" s="527"/>
      <c r="F12" s="527"/>
      <c r="G12" s="527"/>
      <c r="H12" s="255"/>
      <c r="I12" s="14"/>
      <c r="J12" s="35"/>
      <c r="K12" s="25"/>
      <c r="L12" s="79"/>
      <c r="M12" s="25"/>
      <c r="N12" s="80"/>
    </row>
    <row r="13" spans="2:18" x14ac:dyDescent="0.25">
      <c r="B13" s="78"/>
      <c r="C13" s="527" t="s">
        <v>405</v>
      </c>
      <c r="D13" s="527"/>
      <c r="E13" s="527"/>
      <c r="F13" s="527"/>
      <c r="G13" s="527"/>
      <c r="H13" s="255"/>
      <c r="I13" s="14"/>
      <c r="J13" s="35"/>
      <c r="K13" s="25"/>
      <c r="L13" s="79"/>
      <c r="M13" s="25"/>
      <c r="N13" s="80"/>
    </row>
    <row r="14" spans="2:18" ht="16.5" customHeight="1" x14ac:dyDescent="0.25">
      <c r="B14" s="78"/>
      <c r="C14" s="327" t="s">
        <v>406</v>
      </c>
      <c r="D14" s="255"/>
      <c r="E14" s="255"/>
      <c r="F14" s="255"/>
      <c r="G14" s="255"/>
      <c r="H14" s="255"/>
      <c r="I14" s="14"/>
      <c r="J14" s="35"/>
      <c r="K14" s="25"/>
      <c r="L14" s="79"/>
      <c r="M14" s="25"/>
      <c r="N14" s="80"/>
    </row>
    <row r="15" spans="2:18" ht="15.6" customHeight="1" x14ac:dyDescent="0.25">
      <c r="B15" s="78"/>
      <c r="C15" s="438" t="s">
        <v>407</v>
      </c>
      <c r="D15" s="564"/>
      <c r="E15" s="564"/>
      <c r="F15" s="564"/>
      <c r="G15" s="564"/>
      <c r="H15" s="564"/>
      <c r="I15" s="439"/>
      <c r="J15" s="279"/>
      <c r="K15" s="25"/>
      <c r="L15" s="79"/>
      <c r="M15" s="25"/>
      <c r="N15" s="80"/>
    </row>
    <row r="16" spans="2:18" ht="15.75" customHeight="1" x14ac:dyDescent="0.25">
      <c r="B16" s="78"/>
      <c r="C16" s="527"/>
      <c r="D16" s="527"/>
      <c r="E16" s="527"/>
      <c r="F16" s="527"/>
      <c r="G16" s="527"/>
      <c r="H16" s="255"/>
      <c r="I16" s="14"/>
      <c r="J16" s="35"/>
      <c r="K16" s="25"/>
      <c r="L16" s="79"/>
      <c r="M16" s="25"/>
      <c r="N16" s="80"/>
    </row>
    <row r="17" spans="2:14" ht="15.75" customHeight="1" x14ac:dyDescent="0.25">
      <c r="B17" s="78"/>
      <c r="C17" s="565" t="s">
        <v>16</v>
      </c>
      <c r="D17" s="566"/>
      <c r="E17" s="566"/>
      <c r="F17" s="566"/>
      <c r="G17" s="566"/>
      <c r="H17" s="251"/>
      <c r="I17" s="281"/>
      <c r="J17" s="37"/>
      <c r="K17" s="25"/>
      <c r="L17" s="79"/>
      <c r="M17" s="25"/>
      <c r="N17" s="80"/>
    </row>
    <row r="18" spans="2:14" ht="39.6" customHeight="1" x14ac:dyDescent="0.25">
      <c r="B18" s="78"/>
      <c r="C18" s="256" t="s">
        <v>15</v>
      </c>
      <c r="D18" s="256" t="s">
        <v>14</v>
      </c>
      <c r="E18" s="256" t="s">
        <v>13</v>
      </c>
      <c r="F18" s="256" t="s">
        <v>12</v>
      </c>
      <c r="G18" s="469" t="s">
        <v>11</v>
      </c>
      <c r="H18" s="469"/>
      <c r="I18" s="280" t="s">
        <v>10</v>
      </c>
      <c r="J18" s="36"/>
      <c r="K18" s="25"/>
      <c r="L18" s="79"/>
      <c r="M18" s="25"/>
      <c r="N18" s="80"/>
    </row>
    <row r="19" spans="2:14" ht="49.9" customHeight="1" x14ac:dyDescent="0.25">
      <c r="B19" s="78"/>
      <c r="C19" s="494">
        <v>160</v>
      </c>
      <c r="D19" s="220" t="s">
        <v>51</v>
      </c>
      <c r="E19" s="220" t="s">
        <v>145</v>
      </c>
      <c r="F19" s="282" t="s">
        <v>408</v>
      </c>
      <c r="G19" s="506" t="s">
        <v>391</v>
      </c>
      <c r="H19" s="506"/>
      <c r="I19" s="283"/>
      <c r="J19" s="219">
        <v>160</v>
      </c>
      <c r="K19" s="328" t="s">
        <v>55</v>
      </c>
      <c r="L19" s="98">
        <v>200</v>
      </c>
      <c r="M19" s="25"/>
      <c r="N19" s="82">
        <f>J19*L19</f>
        <v>32000</v>
      </c>
    </row>
    <row r="20" spans="2:14" ht="96.6" customHeight="1" x14ac:dyDescent="0.25">
      <c r="B20" s="78"/>
      <c r="C20" s="495"/>
      <c r="D20" s="220" t="s">
        <v>9</v>
      </c>
      <c r="E20" s="220" t="s">
        <v>147</v>
      </c>
      <c r="F20" s="282" t="s">
        <v>408</v>
      </c>
      <c r="G20" s="506" t="s">
        <v>390</v>
      </c>
      <c r="H20" s="506"/>
      <c r="I20" s="283"/>
      <c r="J20" s="219">
        <v>160</v>
      </c>
      <c r="K20" s="328" t="s">
        <v>55</v>
      </c>
      <c r="L20" s="98">
        <v>400</v>
      </c>
      <c r="M20" s="25"/>
      <c r="N20" s="82">
        <f t="shared" ref="N20:N21" si="0">J20*L20</f>
        <v>64000</v>
      </c>
    </row>
    <row r="21" spans="2:14" ht="46.15" customHeight="1" x14ac:dyDescent="0.25">
      <c r="B21" s="78"/>
      <c r="C21" s="495"/>
      <c r="D21" s="220" t="s">
        <v>133</v>
      </c>
      <c r="E21" s="220" t="s">
        <v>145</v>
      </c>
      <c r="F21" s="282" t="s">
        <v>408</v>
      </c>
      <c r="G21" s="506" t="s">
        <v>392</v>
      </c>
      <c r="H21" s="506"/>
      <c r="I21" s="283"/>
      <c r="J21" s="219">
        <v>160</v>
      </c>
      <c r="K21" s="328" t="s">
        <v>55</v>
      </c>
      <c r="L21" s="98">
        <v>200</v>
      </c>
      <c r="M21" s="25"/>
      <c r="N21" s="82">
        <f t="shared" si="0"/>
        <v>32000</v>
      </c>
    </row>
    <row r="22" spans="2:14" ht="23.25" customHeight="1" x14ac:dyDescent="0.25">
      <c r="B22" s="78"/>
      <c r="C22" s="529"/>
      <c r="D22" s="530"/>
      <c r="E22" s="530"/>
      <c r="F22" s="530"/>
      <c r="G22" s="530"/>
      <c r="H22" s="530"/>
      <c r="I22" s="473"/>
      <c r="J22" s="257"/>
      <c r="K22" s="25"/>
      <c r="L22" s="79"/>
      <c r="M22" s="25"/>
      <c r="N22" s="155">
        <f>SUM(N19:N21)</f>
        <v>128000</v>
      </c>
    </row>
    <row r="23" spans="2:14" ht="15.75" customHeight="1" x14ac:dyDescent="0.25">
      <c r="B23" s="78"/>
      <c r="C23" s="523" t="s">
        <v>409</v>
      </c>
      <c r="D23" s="524"/>
      <c r="E23" s="524"/>
      <c r="F23" s="524"/>
      <c r="G23" s="524"/>
      <c r="H23" s="524"/>
      <c r="I23" s="525"/>
      <c r="J23" s="34"/>
      <c r="K23" s="25"/>
      <c r="L23" s="79"/>
      <c r="M23" s="25"/>
      <c r="N23" s="80"/>
    </row>
    <row r="24" spans="2:14" ht="15.75" customHeight="1" x14ac:dyDescent="0.25">
      <c r="B24" s="78"/>
      <c r="C24" s="523"/>
      <c r="D24" s="524"/>
      <c r="E24" s="524"/>
      <c r="F24" s="524"/>
      <c r="G24" s="524"/>
      <c r="H24" s="524"/>
      <c r="I24" s="525"/>
      <c r="J24" s="34"/>
      <c r="K24" s="25"/>
      <c r="L24" s="79"/>
      <c r="M24" s="25"/>
      <c r="N24" s="80"/>
    </row>
    <row r="25" spans="2:14" ht="16.149999999999999" customHeight="1" x14ac:dyDescent="0.25">
      <c r="B25" s="78"/>
      <c r="C25" s="562"/>
      <c r="D25" s="527"/>
      <c r="E25" s="527"/>
      <c r="F25" s="527"/>
      <c r="G25" s="527"/>
      <c r="H25" s="255"/>
      <c r="I25" s="14"/>
      <c r="J25" s="35"/>
      <c r="K25" s="25"/>
      <c r="L25" s="79"/>
      <c r="M25" s="25"/>
      <c r="N25" s="80"/>
    </row>
    <row r="26" spans="2:14" x14ac:dyDescent="0.25">
      <c r="B26" s="78"/>
      <c r="C26" s="527" t="s">
        <v>97</v>
      </c>
      <c r="D26" s="527"/>
      <c r="E26" s="527"/>
      <c r="F26" s="527"/>
      <c r="G26" s="527"/>
      <c r="H26" s="255"/>
      <c r="I26" s="14"/>
      <c r="J26" s="35"/>
      <c r="K26" s="25"/>
      <c r="L26" s="79"/>
      <c r="M26" s="25"/>
      <c r="N26" s="80"/>
    </row>
    <row r="27" spans="2:14" x14ac:dyDescent="0.25">
      <c r="B27" s="78"/>
      <c r="C27" s="438" t="s">
        <v>410</v>
      </c>
      <c r="D27" s="564"/>
      <c r="E27" s="564"/>
      <c r="F27" s="564"/>
      <c r="G27" s="564"/>
      <c r="H27" s="564"/>
      <c r="I27" s="439"/>
      <c r="J27" s="279"/>
      <c r="K27" s="25"/>
      <c r="L27" s="79"/>
      <c r="M27" s="25"/>
      <c r="N27" s="80"/>
    </row>
    <row r="28" spans="2:14" ht="15.6" customHeight="1" x14ac:dyDescent="0.25">
      <c r="B28" s="78"/>
      <c r="C28" s="438" t="s">
        <v>411</v>
      </c>
      <c r="D28" s="564"/>
      <c r="E28" s="564"/>
      <c r="F28" s="564"/>
      <c r="G28" s="564"/>
      <c r="H28" s="564"/>
      <c r="I28" s="439"/>
      <c r="J28" s="279"/>
      <c r="K28" s="25"/>
      <c r="L28" s="79"/>
      <c r="M28" s="25"/>
      <c r="N28" s="80"/>
    </row>
    <row r="29" spans="2:14" ht="15.75" customHeight="1" x14ac:dyDescent="0.25">
      <c r="B29" s="78"/>
      <c r="C29" s="527"/>
      <c r="D29" s="527"/>
      <c r="E29" s="527"/>
      <c r="F29" s="527"/>
      <c r="G29" s="527"/>
      <c r="H29" s="255"/>
      <c r="I29" s="14"/>
      <c r="J29" s="35"/>
      <c r="K29" s="25"/>
      <c r="L29" s="79"/>
      <c r="M29" s="25"/>
      <c r="N29" s="80"/>
    </row>
    <row r="30" spans="2:14" ht="15.75" customHeight="1" x14ac:dyDescent="0.25">
      <c r="B30" s="78"/>
      <c r="C30" s="565" t="s">
        <v>16</v>
      </c>
      <c r="D30" s="566"/>
      <c r="E30" s="566"/>
      <c r="F30" s="566"/>
      <c r="G30" s="566"/>
      <c r="H30" s="251"/>
      <c r="I30" s="281"/>
      <c r="J30" s="37"/>
      <c r="K30" s="25"/>
      <c r="L30" s="79"/>
      <c r="M30" s="25"/>
      <c r="N30" s="80"/>
    </row>
    <row r="31" spans="2:14" ht="39.6" customHeight="1" x14ac:dyDescent="0.25">
      <c r="B31" s="78"/>
      <c r="C31" s="256" t="s">
        <v>15</v>
      </c>
      <c r="D31" s="256" t="s">
        <v>14</v>
      </c>
      <c r="E31" s="256" t="s">
        <v>13</v>
      </c>
      <c r="F31" s="256" t="s">
        <v>12</v>
      </c>
      <c r="G31" s="469" t="s">
        <v>11</v>
      </c>
      <c r="H31" s="469"/>
      <c r="I31" s="280" t="s">
        <v>10</v>
      </c>
      <c r="J31" s="36"/>
      <c r="K31" s="25"/>
      <c r="L31" s="79"/>
      <c r="M31" s="25"/>
      <c r="N31" s="80"/>
    </row>
    <row r="32" spans="2:14" ht="49.9" customHeight="1" x14ac:dyDescent="0.25">
      <c r="B32" s="78"/>
      <c r="C32" s="494">
        <v>30</v>
      </c>
      <c r="D32" s="220" t="s">
        <v>144</v>
      </c>
      <c r="E32" s="220" t="s">
        <v>145</v>
      </c>
      <c r="F32" s="282" t="s">
        <v>412</v>
      </c>
      <c r="G32" s="506" t="s">
        <v>391</v>
      </c>
      <c r="H32" s="506"/>
      <c r="I32" s="283"/>
      <c r="J32" s="219">
        <v>30</v>
      </c>
      <c r="K32" s="328" t="s">
        <v>55</v>
      </c>
      <c r="L32" s="98">
        <v>200</v>
      </c>
      <c r="M32" s="25"/>
      <c r="N32" s="82">
        <f>J32*L32*4</f>
        <v>24000</v>
      </c>
    </row>
    <row r="33" spans="2:14" ht="96.6" customHeight="1" x14ac:dyDescent="0.25">
      <c r="B33" s="78"/>
      <c r="C33" s="495"/>
      <c r="D33" s="220" t="s">
        <v>9</v>
      </c>
      <c r="E33" s="220" t="s">
        <v>147</v>
      </c>
      <c r="F33" s="282" t="s">
        <v>412</v>
      </c>
      <c r="G33" s="506" t="s">
        <v>390</v>
      </c>
      <c r="H33" s="506"/>
      <c r="I33" s="283"/>
      <c r="J33" s="219">
        <v>30</v>
      </c>
      <c r="K33" s="328" t="s">
        <v>55</v>
      </c>
      <c r="L33" s="98">
        <v>400</v>
      </c>
      <c r="M33" s="25"/>
      <c r="N33" s="82">
        <f t="shared" ref="N33:N34" si="1">J33*L33*4</f>
        <v>48000</v>
      </c>
    </row>
    <row r="34" spans="2:14" ht="46.15" customHeight="1" x14ac:dyDescent="0.25">
      <c r="B34" s="78"/>
      <c r="C34" s="496"/>
      <c r="D34" s="220" t="s">
        <v>149</v>
      </c>
      <c r="E34" s="220" t="s">
        <v>145</v>
      </c>
      <c r="F34" s="282" t="s">
        <v>412</v>
      </c>
      <c r="G34" s="506" t="s">
        <v>392</v>
      </c>
      <c r="H34" s="506"/>
      <c r="I34" s="283"/>
      <c r="J34" s="219">
        <v>30</v>
      </c>
      <c r="K34" s="328" t="s">
        <v>55</v>
      </c>
      <c r="L34" s="98">
        <v>200</v>
      </c>
      <c r="M34" s="25"/>
      <c r="N34" s="82">
        <f t="shared" si="1"/>
        <v>24000</v>
      </c>
    </row>
    <row r="35" spans="2:14" x14ac:dyDescent="0.25">
      <c r="B35" s="78"/>
      <c r="C35" s="644"/>
      <c r="D35" s="645"/>
      <c r="E35" s="645"/>
      <c r="F35" s="645"/>
      <c r="G35" s="645"/>
      <c r="H35" s="645"/>
      <c r="I35" s="646"/>
      <c r="J35" s="257"/>
      <c r="K35" s="25"/>
      <c r="L35" s="79"/>
      <c r="M35" s="25"/>
      <c r="N35" s="155">
        <f>SUM(N32:N34)</f>
        <v>96000</v>
      </c>
    </row>
    <row r="36" spans="2:14" ht="15.75" customHeight="1" x14ac:dyDescent="0.25">
      <c r="B36" s="78"/>
      <c r="C36" s="523" t="s">
        <v>413</v>
      </c>
      <c r="D36" s="524"/>
      <c r="E36" s="524"/>
      <c r="F36" s="524"/>
      <c r="G36" s="524"/>
      <c r="H36" s="524"/>
      <c r="I36" s="525"/>
      <c r="J36" s="34"/>
      <c r="K36" s="25"/>
      <c r="L36" s="79"/>
      <c r="M36" s="25"/>
      <c r="N36" s="80"/>
    </row>
    <row r="37" spans="2:14" ht="15.75" customHeight="1" x14ac:dyDescent="0.25">
      <c r="B37" s="78"/>
      <c r="C37" s="523"/>
      <c r="D37" s="524"/>
      <c r="E37" s="524"/>
      <c r="F37" s="524"/>
      <c r="G37" s="524"/>
      <c r="H37" s="524"/>
      <c r="I37" s="525"/>
      <c r="J37" s="34"/>
      <c r="K37" s="25"/>
      <c r="L37" s="79"/>
      <c r="M37" s="25"/>
      <c r="N37" s="80"/>
    </row>
    <row r="38" spans="2:14" ht="16.149999999999999" customHeight="1" x14ac:dyDescent="0.25">
      <c r="B38" s="78"/>
      <c r="C38" s="562"/>
      <c r="D38" s="527"/>
      <c r="E38" s="527"/>
      <c r="F38" s="527"/>
      <c r="G38" s="527"/>
      <c r="H38" s="255"/>
      <c r="I38" s="14"/>
      <c r="J38" s="35"/>
      <c r="K38" s="25"/>
      <c r="L38" s="79"/>
      <c r="M38" s="25"/>
      <c r="N38" s="80"/>
    </row>
    <row r="39" spans="2:14" x14ac:dyDescent="0.25">
      <c r="B39" s="78"/>
      <c r="C39" s="527" t="s">
        <v>97</v>
      </c>
      <c r="D39" s="527"/>
      <c r="E39" s="527"/>
      <c r="F39" s="527"/>
      <c r="G39" s="527"/>
      <c r="H39" s="255"/>
      <c r="I39" s="14"/>
      <c r="J39" s="35"/>
      <c r="K39" s="25"/>
      <c r="L39" s="79"/>
      <c r="M39" s="25"/>
      <c r="N39" s="80"/>
    </row>
    <row r="40" spans="2:14" x14ac:dyDescent="0.25">
      <c r="B40" s="78"/>
      <c r="C40" s="438" t="s">
        <v>410</v>
      </c>
      <c r="D40" s="564"/>
      <c r="E40" s="564"/>
      <c r="F40" s="564"/>
      <c r="G40" s="564"/>
      <c r="H40" s="564"/>
      <c r="I40" s="439"/>
      <c r="J40" s="279"/>
      <c r="K40" s="25"/>
      <c r="L40" s="79"/>
      <c r="M40" s="25"/>
      <c r="N40" s="80"/>
    </row>
    <row r="41" spans="2:14" ht="15.6" customHeight="1" x14ac:dyDescent="0.25">
      <c r="B41" s="78"/>
      <c r="C41" s="438" t="s">
        <v>414</v>
      </c>
      <c r="D41" s="564"/>
      <c r="E41" s="564"/>
      <c r="F41" s="564"/>
      <c r="G41" s="564"/>
      <c r="H41" s="564"/>
      <c r="I41" s="439"/>
      <c r="J41" s="279"/>
      <c r="K41" s="25"/>
      <c r="L41" s="79"/>
      <c r="M41" s="25"/>
      <c r="N41" s="80"/>
    </row>
    <row r="42" spans="2:14" ht="15.75" customHeight="1" x14ac:dyDescent="0.25">
      <c r="B42" s="78"/>
      <c r="C42" s="527"/>
      <c r="D42" s="527"/>
      <c r="E42" s="527"/>
      <c r="F42" s="527"/>
      <c r="G42" s="527"/>
      <c r="H42" s="255"/>
      <c r="I42" s="14"/>
      <c r="J42" s="35"/>
      <c r="K42" s="25"/>
      <c r="L42" s="79"/>
      <c r="M42" s="25"/>
      <c r="N42" s="80"/>
    </row>
    <row r="43" spans="2:14" ht="15.75" customHeight="1" x14ac:dyDescent="0.25">
      <c r="B43" s="78"/>
      <c r="C43" s="565" t="s">
        <v>16</v>
      </c>
      <c r="D43" s="566"/>
      <c r="E43" s="566"/>
      <c r="F43" s="566"/>
      <c r="G43" s="566"/>
      <c r="H43" s="251"/>
      <c r="I43" s="281"/>
      <c r="J43" s="37"/>
      <c r="K43" s="25"/>
      <c r="L43" s="79"/>
      <c r="M43" s="25"/>
      <c r="N43" s="80"/>
    </row>
    <row r="44" spans="2:14" ht="39.6" customHeight="1" x14ac:dyDescent="0.25">
      <c r="B44" s="78"/>
      <c r="C44" s="256" t="s">
        <v>15</v>
      </c>
      <c r="D44" s="256" t="s">
        <v>14</v>
      </c>
      <c r="E44" s="256" t="s">
        <v>13</v>
      </c>
      <c r="F44" s="256" t="s">
        <v>12</v>
      </c>
      <c r="G44" s="469" t="s">
        <v>11</v>
      </c>
      <c r="H44" s="469"/>
      <c r="I44" s="280" t="s">
        <v>10</v>
      </c>
      <c r="J44" s="36"/>
      <c r="K44" s="25"/>
      <c r="L44" s="79"/>
      <c r="M44" s="25"/>
      <c r="N44" s="80"/>
    </row>
    <row r="45" spans="2:14" ht="49.9" customHeight="1" x14ac:dyDescent="0.25">
      <c r="B45" s="78"/>
      <c r="C45" s="494">
        <v>30</v>
      </c>
      <c r="D45" s="220" t="s">
        <v>51</v>
      </c>
      <c r="E45" s="220" t="s">
        <v>145</v>
      </c>
      <c r="F45" s="282" t="s">
        <v>415</v>
      </c>
      <c r="G45" s="506" t="s">
        <v>391</v>
      </c>
      <c r="H45" s="506"/>
      <c r="I45" s="283"/>
      <c r="J45" s="219">
        <v>30</v>
      </c>
      <c r="K45" s="328" t="s">
        <v>55</v>
      </c>
      <c r="L45" s="98">
        <v>200</v>
      </c>
      <c r="M45" s="25"/>
      <c r="N45" s="82">
        <f t="shared" ref="N45:N47" si="2">J45*L45*4</f>
        <v>24000</v>
      </c>
    </row>
    <row r="46" spans="2:14" ht="96.6" customHeight="1" x14ac:dyDescent="0.25">
      <c r="B46" s="78"/>
      <c r="C46" s="495"/>
      <c r="D46" s="220" t="s">
        <v>9</v>
      </c>
      <c r="E46" s="220" t="s">
        <v>147</v>
      </c>
      <c r="F46" s="282" t="s">
        <v>415</v>
      </c>
      <c r="G46" s="506" t="s">
        <v>390</v>
      </c>
      <c r="H46" s="506"/>
      <c r="I46" s="283"/>
      <c r="J46" s="219">
        <v>30</v>
      </c>
      <c r="K46" s="328" t="s">
        <v>55</v>
      </c>
      <c r="L46" s="98">
        <v>400</v>
      </c>
      <c r="M46" s="25"/>
      <c r="N46" s="82">
        <f t="shared" si="2"/>
        <v>48000</v>
      </c>
    </row>
    <row r="47" spans="2:14" ht="46.15" customHeight="1" x14ac:dyDescent="0.25">
      <c r="B47" s="78"/>
      <c r="C47" s="496"/>
      <c r="D47" s="220" t="s">
        <v>133</v>
      </c>
      <c r="E47" s="220" t="s">
        <v>145</v>
      </c>
      <c r="F47" s="282" t="s">
        <v>415</v>
      </c>
      <c r="G47" s="506" t="s">
        <v>392</v>
      </c>
      <c r="H47" s="506"/>
      <c r="I47" s="283"/>
      <c r="J47" s="219">
        <v>30</v>
      </c>
      <c r="K47" s="328" t="s">
        <v>55</v>
      </c>
      <c r="L47" s="98">
        <v>200</v>
      </c>
      <c r="M47" s="25"/>
      <c r="N47" s="82">
        <f t="shared" si="2"/>
        <v>24000</v>
      </c>
    </row>
    <row r="48" spans="2:14" ht="15.75" customHeight="1" x14ac:dyDescent="0.25">
      <c r="B48" s="78"/>
      <c r="C48" s="523" t="s">
        <v>416</v>
      </c>
      <c r="D48" s="524"/>
      <c r="E48" s="524"/>
      <c r="F48" s="524"/>
      <c r="G48" s="524"/>
      <c r="H48" s="524"/>
      <c r="I48" s="525"/>
      <c r="J48" s="34"/>
      <c r="K48" s="25"/>
      <c r="L48" s="79"/>
      <c r="M48" s="25"/>
      <c r="N48" s="155">
        <f>SUM(N45:N47)</f>
        <v>96000</v>
      </c>
    </row>
    <row r="49" spans="2:14" ht="15.75" customHeight="1" x14ac:dyDescent="0.25">
      <c r="B49" s="78"/>
      <c r="C49" s="523"/>
      <c r="D49" s="524"/>
      <c r="E49" s="524"/>
      <c r="F49" s="524"/>
      <c r="G49" s="524"/>
      <c r="H49" s="524"/>
      <c r="I49" s="525"/>
      <c r="J49" s="34"/>
      <c r="K49" s="25"/>
      <c r="L49" s="79"/>
      <c r="M49" s="25"/>
      <c r="N49" s="80"/>
    </row>
    <row r="50" spans="2:14" ht="16.149999999999999" customHeight="1" x14ac:dyDescent="0.25">
      <c r="B50" s="78"/>
      <c r="C50" s="562"/>
      <c r="D50" s="527"/>
      <c r="E50" s="527"/>
      <c r="F50" s="527"/>
      <c r="G50" s="527"/>
      <c r="H50" s="255"/>
      <c r="I50" s="14"/>
      <c r="J50" s="35"/>
      <c r="K50" s="25"/>
      <c r="L50" s="79"/>
      <c r="M50" s="25"/>
      <c r="N50" s="80"/>
    </row>
    <row r="51" spans="2:14" x14ac:dyDescent="0.25">
      <c r="B51" s="78"/>
      <c r="C51" s="527" t="s">
        <v>97</v>
      </c>
      <c r="D51" s="527"/>
      <c r="E51" s="527"/>
      <c r="F51" s="527"/>
      <c r="G51" s="527"/>
      <c r="H51" s="255"/>
      <c r="I51" s="14"/>
      <c r="J51" s="35"/>
      <c r="K51" s="25"/>
      <c r="L51" s="79"/>
      <c r="M51" s="25"/>
      <c r="N51" s="80"/>
    </row>
    <row r="52" spans="2:14" x14ac:dyDescent="0.25">
      <c r="B52" s="78"/>
      <c r="C52" s="438" t="s">
        <v>410</v>
      </c>
      <c r="D52" s="564"/>
      <c r="E52" s="564"/>
      <c r="F52" s="564"/>
      <c r="G52" s="564"/>
      <c r="H52" s="564"/>
      <c r="I52" s="439"/>
      <c r="J52" s="279"/>
      <c r="K52" s="25"/>
      <c r="L52" s="79"/>
      <c r="M52" s="25"/>
      <c r="N52" s="80"/>
    </row>
    <row r="53" spans="2:14" ht="15.6" customHeight="1" x14ac:dyDescent="0.25">
      <c r="B53" s="78"/>
      <c r="C53" s="438" t="s">
        <v>417</v>
      </c>
      <c r="D53" s="564"/>
      <c r="E53" s="564"/>
      <c r="F53" s="564"/>
      <c r="G53" s="564"/>
      <c r="H53" s="564"/>
      <c r="I53" s="439"/>
      <c r="J53" s="279"/>
      <c r="K53" s="25"/>
      <c r="L53" s="79"/>
      <c r="M53" s="25"/>
      <c r="N53" s="80"/>
    </row>
    <row r="54" spans="2:14" ht="15.75" customHeight="1" x14ac:dyDescent="0.25">
      <c r="B54" s="78"/>
      <c r="C54" s="527"/>
      <c r="D54" s="527"/>
      <c r="E54" s="527"/>
      <c r="F54" s="527"/>
      <c r="G54" s="527"/>
      <c r="H54" s="255"/>
      <c r="I54" s="14"/>
      <c r="J54" s="35"/>
      <c r="K54" s="25"/>
      <c r="L54" s="79"/>
      <c r="M54" s="25"/>
      <c r="N54" s="80"/>
    </row>
    <row r="55" spans="2:14" ht="15.75" customHeight="1" x14ac:dyDescent="0.25">
      <c r="B55" s="78"/>
      <c r="C55" s="565" t="s">
        <v>16</v>
      </c>
      <c r="D55" s="566"/>
      <c r="E55" s="566"/>
      <c r="F55" s="566"/>
      <c r="G55" s="566"/>
      <c r="H55" s="251"/>
      <c r="I55" s="281"/>
      <c r="J55" s="37"/>
      <c r="K55" s="25"/>
      <c r="L55" s="79"/>
      <c r="M55" s="25"/>
      <c r="N55" s="80"/>
    </row>
    <row r="56" spans="2:14" ht="39.6" customHeight="1" x14ac:dyDescent="0.25">
      <c r="B56" s="78"/>
      <c r="C56" s="256" t="s">
        <v>15</v>
      </c>
      <c r="D56" s="256" t="s">
        <v>14</v>
      </c>
      <c r="E56" s="256" t="s">
        <v>13</v>
      </c>
      <c r="F56" s="256" t="s">
        <v>12</v>
      </c>
      <c r="G56" s="469" t="s">
        <v>11</v>
      </c>
      <c r="H56" s="469"/>
      <c r="I56" s="280" t="s">
        <v>10</v>
      </c>
      <c r="J56" s="36"/>
      <c r="K56" s="25"/>
      <c r="L56" s="79"/>
      <c r="M56" s="25"/>
      <c r="N56" s="80"/>
    </row>
    <row r="57" spans="2:14" ht="49.9" customHeight="1" x14ac:dyDescent="0.25">
      <c r="B57" s="25"/>
      <c r="C57" s="494">
        <v>25</v>
      </c>
      <c r="D57" s="220" t="s">
        <v>51</v>
      </c>
      <c r="E57" s="220" t="s">
        <v>145</v>
      </c>
      <c r="F57" s="282" t="s">
        <v>418</v>
      </c>
      <c r="G57" s="506" t="s">
        <v>391</v>
      </c>
      <c r="H57" s="506"/>
      <c r="I57" s="220"/>
      <c r="J57" s="329">
        <v>25</v>
      </c>
      <c r="K57" s="328" t="s">
        <v>55</v>
      </c>
      <c r="L57" s="98">
        <v>200</v>
      </c>
      <c r="M57" s="25"/>
      <c r="N57" s="82">
        <f>J57*L57*3</f>
        <v>15000</v>
      </c>
    </row>
    <row r="58" spans="2:14" ht="96.6" customHeight="1" x14ac:dyDescent="0.25">
      <c r="B58" s="25"/>
      <c r="C58" s="495"/>
      <c r="D58" s="220" t="s">
        <v>9</v>
      </c>
      <c r="E58" s="220" t="s">
        <v>147</v>
      </c>
      <c r="F58" s="282" t="s">
        <v>418</v>
      </c>
      <c r="G58" s="506" t="s">
        <v>390</v>
      </c>
      <c r="H58" s="506"/>
      <c r="I58" s="220"/>
      <c r="J58" s="329">
        <v>25</v>
      </c>
      <c r="K58" s="328" t="s">
        <v>55</v>
      </c>
      <c r="L58" s="98">
        <v>400</v>
      </c>
      <c r="M58" s="25"/>
      <c r="N58" s="82">
        <f>J58*L58*3</f>
        <v>30000</v>
      </c>
    </row>
    <row r="59" spans="2:14" ht="46.15" customHeight="1" x14ac:dyDescent="0.25">
      <c r="B59" s="25"/>
      <c r="C59" s="496"/>
      <c r="D59" s="220" t="s">
        <v>133</v>
      </c>
      <c r="E59" s="220" t="s">
        <v>145</v>
      </c>
      <c r="F59" s="282" t="s">
        <v>418</v>
      </c>
      <c r="G59" s="506" t="s">
        <v>392</v>
      </c>
      <c r="H59" s="506"/>
      <c r="I59" s="220"/>
      <c r="J59" s="329">
        <v>25</v>
      </c>
      <c r="K59" s="328" t="s">
        <v>55</v>
      </c>
      <c r="L59" s="98">
        <v>200</v>
      </c>
      <c r="M59" s="25"/>
      <c r="N59" s="82">
        <f>J59*L59*3</f>
        <v>15000</v>
      </c>
    </row>
    <row r="60" spans="2:14" ht="17.25" customHeight="1" x14ac:dyDescent="0.25">
      <c r="B60" s="25"/>
      <c r="C60" s="330"/>
      <c r="D60" s="331"/>
      <c r="E60" s="331"/>
      <c r="F60" s="332"/>
      <c r="G60" s="333"/>
      <c r="H60" s="333"/>
      <c r="I60" s="329"/>
      <c r="J60" s="329"/>
      <c r="K60" s="25"/>
      <c r="L60" s="98"/>
      <c r="M60" s="25"/>
      <c r="N60" s="334">
        <f>SUM(N57:N59)</f>
        <v>60000</v>
      </c>
    </row>
    <row r="61" spans="2:14" customFormat="1" ht="15" x14ac:dyDescent="0.25">
      <c r="B61" s="335"/>
      <c r="C61" s="647" t="s">
        <v>151</v>
      </c>
      <c r="D61" s="648"/>
      <c r="E61" s="648"/>
      <c r="F61" s="648"/>
      <c r="G61" s="648"/>
      <c r="H61" s="648"/>
      <c r="I61" s="649"/>
      <c r="J61" s="304"/>
      <c r="K61" s="335"/>
      <c r="L61" s="336"/>
      <c r="M61" s="335"/>
      <c r="N61" s="337"/>
    </row>
    <row r="62" spans="2:14" customFormat="1" ht="15" x14ac:dyDescent="0.25">
      <c r="B62" s="335"/>
      <c r="C62" s="338" t="s">
        <v>419</v>
      </c>
      <c r="G62" s="339"/>
      <c r="H62" s="339"/>
      <c r="I62" s="340"/>
      <c r="J62" s="304"/>
      <c r="K62" s="335"/>
      <c r="L62" s="336"/>
      <c r="M62" s="335"/>
      <c r="N62" s="337"/>
    </row>
    <row r="63" spans="2:14" customFormat="1" ht="15" x14ac:dyDescent="0.25">
      <c r="B63" s="335"/>
      <c r="C63" s="341" t="s">
        <v>420</v>
      </c>
      <c r="G63" s="339"/>
      <c r="H63" s="339"/>
      <c r="I63" s="340"/>
      <c r="J63" s="304"/>
      <c r="K63" s="335"/>
      <c r="L63" s="336"/>
      <c r="M63" s="335"/>
      <c r="N63" s="337"/>
    </row>
    <row r="64" spans="2:14" customFormat="1" ht="15" x14ac:dyDescent="0.25">
      <c r="B64" s="335"/>
      <c r="C64" s="341" t="s">
        <v>160</v>
      </c>
      <c r="G64" s="339"/>
      <c r="H64" s="339"/>
      <c r="I64" s="340"/>
      <c r="J64" s="304"/>
      <c r="K64" s="335"/>
      <c r="L64" s="336"/>
      <c r="M64" s="335"/>
      <c r="N64" s="337"/>
    </row>
    <row r="65" spans="2:15" customFormat="1" ht="15" x14ac:dyDescent="0.25">
      <c r="B65" s="335"/>
      <c r="C65" s="341" t="s">
        <v>421</v>
      </c>
      <c r="G65" s="339"/>
      <c r="H65" s="339"/>
      <c r="I65" s="340"/>
      <c r="J65" s="304"/>
      <c r="K65" s="335"/>
      <c r="L65" s="336"/>
      <c r="M65" s="335"/>
      <c r="N65" s="337"/>
    </row>
    <row r="66" spans="2:15" customFormat="1" ht="15.75" customHeight="1" x14ac:dyDescent="0.25">
      <c r="B66" s="335"/>
      <c r="C66" s="593" t="s">
        <v>422</v>
      </c>
      <c r="D66" s="594"/>
      <c r="E66" s="594"/>
      <c r="F66" s="594"/>
      <c r="G66" s="594"/>
      <c r="H66" s="594"/>
      <c r="I66" s="595"/>
      <c r="J66" s="344"/>
      <c r="K66" s="335"/>
      <c r="L66" s="336"/>
      <c r="M66" s="335"/>
      <c r="N66" s="337"/>
    </row>
    <row r="67" spans="2:15" customFormat="1" ht="16.5" customHeight="1" x14ac:dyDescent="0.25">
      <c r="B67" s="335"/>
      <c r="C67" s="593" t="s">
        <v>153</v>
      </c>
      <c r="D67" s="594"/>
      <c r="E67" s="594"/>
      <c r="F67" s="594"/>
      <c r="G67" s="594"/>
      <c r="H67" s="594"/>
      <c r="I67" s="595"/>
      <c r="J67" s="345"/>
      <c r="K67" s="335"/>
      <c r="L67" s="336"/>
      <c r="M67" s="335"/>
      <c r="N67" s="337"/>
      <c r="O67" s="346"/>
    </row>
    <row r="68" spans="2:15" customFormat="1" ht="16.5" customHeight="1" x14ac:dyDescent="0.25">
      <c r="B68" s="335"/>
      <c r="C68" s="342"/>
      <c r="D68" s="343"/>
      <c r="E68" s="343"/>
      <c r="F68" s="343"/>
      <c r="G68" s="343"/>
      <c r="H68" s="343"/>
      <c r="I68" s="344"/>
      <c r="J68" s="345"/>
      <c r="K68" s="335"/>
      <c r="L68" s="336"/>
      <c r="M68" s="335"/>
      <c r="N68" s="337"/>
      <c r="O68" s="346"/>
    </row>
    <row r="69" spans="2:15" customFormat="1" ht="15" x14ac:dyDescent="0.25">
      <c r="B69" s="335"/>
      <c r="C69" s="647" t="s">
        <v>155</v>
      </c>
      <c r="D69" s="648"/>
      <c r="E69" s="648"/>
      <c r="F69" s="648"/>
      <c r="G69" s="648"/>
      <c r="H69" s="648"/>
      <c r="I69" s="649"/>
      <c r="J69" s="347"/>
      <c r="K69" s="335"/>
      <c r="L69" s="336"/>
      <c r="M69" s="335"/>
      <c r="N69" s="337"/>
    </row>
    <row r="70" spans="2:15" customFormat="1" ht="15" x14ac:dyDescent="0.25">
      <c r="B70" s="335"/>
      <c r="C70" s="588" t="s">
        <v>423</v>
      </c>
      <c r="D70" s="589"/>
      <c r="E70" s="589"/>
      <c r="F70" s="589"/>
      <c r="G70" s="589"/>
      <c r="H70" s="589"/>
      <c r="I70" s="590"/>
      <c r="J70" s="348"/>
      <c r="K70" s="335"/>
      <c r="L70" s="336"/>
      <c r="M70" s="335"/>
      <c r="N70" s="337"/>
    </row>
    <row r="71" spans="2:15" customFormat="1" ht="15" x14ac:dyDescent="0.25">
      <c r="B71" s="335"/>
      <c r="C71" s="593" t="s">
        <v>156</v>
      </c>
      <c r="D71" s="594"/>
      <c r="E71" s="594"/>
      <c r="F71" s="594"/>
      <c r="G71" s="594"/>
      <c r="H71" s="594"/>
      <c r="I71" s="595"/>
      <c r="J71" s="345"/>
      <c r="K71" s="335"/>
      <c r="L71" s="336"/>
      <c r="M71" s="335"/>
      <c r="N71" s="337"/>
    </row>
    <row r="72" spans="2:15" customFormat="1" ht="15" x14ac:dyDescent="0.25">
      <c r="B72" s="335"/>
      <c r="C72" s="588" t="s">
        <v>157</v>
      </c>
      <c r="D72" s="589"/>
      <c r="E72" s="589"/>
      <c r="F72" s="589"/>
      <c r="G72" s="589"/>
      <c r="H72" s="589"/>
      <c r="I72" s="590"/>
      <c r="J72" s="348"/>
      <c r="K72" s="335"/>
      <c r="L72" s="336"/>
      <c r="M72" s="335"/>
      <c r="N72" s="337"/>
    </row>
    <row r="73" spans="2:15" customFormat="1" ht="15" x14ac:dyDescent="0.25">
      <c r="B73" s="335"/>
      <c r="C73" s="588" t="s">
        <v>158</v>
      </c>
      <c r="D73" s="589"/>
      <c r="E73" s="589"/>
      <c r="F73" s="589"/>
      <c r="G73" s="589"/>
      <c r="H73" s="589"/>
      <c r="I73" s="590"/>
      <c r="J73" s="348"/>
      <c r="K73" s="335"/>
      <c r="L73" s="336"/>
      <c r="M73" s="335"/>
      <c r="N73" s="337"/>
    </row>
    <row r="74" spans="2:15" customFormat="1" ht="15" x14ac:dyDescent="0.25">
      <c r="B74" s="335"/>
      <c r="C74" s="588"/>
      <c r="D74" s="589"/>
      <c r="E74" s="589"/>
      <c r="F74" s="589"/>
      <c r="G74" s="589"/>
      <c r="H74" s="589"/>
      <c r="I74" s="590"/>
      <c r="J74" s="348"/>
      <c r="K74" s="335"/>
      <c r="L74" s="336"/>
      <c r="M74" s="335"/>
      <c r="N74" s="337"/>
    </row>
    <row r="75" spans="2:15" customFormat="1" ht="15" x14ac:dyDescent="0.25">
      <c r="B75" s="335"/>
      <c r="C75" s="588" t="s">
        <v>424</v>
      </c>
      <c r="D75" s="589"/>
      <c r="E75" s="589"/>
      <c r="F75" s="589"/>
      <c r="G75" s="589"/>
      <c r="H75" s="589"/>
      <c r="I75" s="590"/>
      <c r="J75" s="348"/>
      <c r="K75" s="335"/>
      <c r="L75" s="336"/>
      <c r="M75" s="335"/>
      <c r="N75" s="337"/>
    </row>
    <row r="76" spans="2:15" customFormat="1" ht="15" x14ac:dyDescent="0.25">
      <c r="B76" s="335"/>
      <c r="C76" s="567"/>
      <c r="D76" s="568"/>
      <c r="E76" s="568"/>
      <c r="F76" s="568"/>
      <c r="G76" s="568"/>
      <c r="H76" s="568"/>
      <c r="I76" s="569"/>
      <c r="J76" s="345"/>
      <c r="K76" s="335"/>
      <c r="L76" s="336"/>
      <c r="M76" s="335"/>
      <c r="N76" s="337"/>
    </row>
    <row r="77" spans="2:15" customFormat="1" ht="15" x14ac:dyDescent="0.25">
      <c r="B77" s="335"/>
      <c r="C77" s="647" t="s">
        <v>162</v>
      </c>
      <c r="D77" s="648"/>
      <c r="E77" s="648"/>
      <c r="F77" s="648"/>
      <c r="G77" s="648"/>
      <c r="H77" s="339"/>
      <c r="I77" s="347"/>
      <c r="J77" s="347"/>
      <c r="K77" s="335"/>
      <c r="L77" s="336"/>
      <c r="M77" s="335"/>
      <c r="N77" s="337"/>
    </row>
    <row r="78" spans="2:15" customFormat="1" ht="15" x14ac:dyDescent="0.25">
      <c r="B78" s="335"/>
      <c r="C78" s="593" t="s">
        <v>163</v>
      </c>
      <c r="D78" s="594"/>
      <c r="E78" s="594"/>
      <c r="F78" s="594"/>
      <c r="G78" s="594"/>
      <c r="H78" s="343"/>
      <c r="I78" s="345"/>
      <c r="J78" s="345"/>
      <c r="K78" s="335"/>
      <c r="L78" s="336"/>
      <c r="M78" s="335"/>
      <c r="N78" s="337"/>
    </row>
    <row r="79" spans="2:15" customFormat="1" ht="15" x14ac:dyDescent="0.25">
      <c r="B79" s="335"/>
      <c r="C79" s="593" t="s">
        <v>425</v>
      </c>
      <c r="D79" s="594"/>
      <c r="E79" s="594"/>
      <c r="F79" s="594"/>
      <c r="G79" s="594"/>
      <c r="H79" s="343"/>
      <c r="I79" s="345"/>
      <c r="J79" s="345"/>
      <c r="K79" s="335"/>
      <c r="L79" s="336"/>
      <c r="M79" s="335"/>
      <c r="N79" s="337"/>
    </row>
    <row r="80" spans="2:15" customFormat="1" ht="15" x14ac:dyDescent="0.25">
      <c r="B80" s="335"/>
      <c r="C80" s="342"/>
      <c r="D80" s="343"/>
      <c r="E80" s="343"/>
      <c r="F80" s="343"/>
      <c r="G80" s="343"/>
      <c r="H80" s="343"/>
      <c r="I80" s="345"/>
      <c r="J80" s="345"/>
      <c r="K80" s="335"/>
      <c r="L80" s="336"/>
      <c r="M80" s="335"/>
      <c r="N80" s="337"/>
    </row>
    <row r="81" spans="2:14" customFormat="1" ht="15" x14ac:dyDescent="0.25">
      <c r="B81" s="335"/>
      <c r="C81" s="167" t="s">
        <v>426</v>
      </c>
      <c r="D81" s="343"/>
      <c r="E81" s="343"/>
      <c r="F81" s="343"/>
      <c r="G81" s="343"/>
      <c r="H81" s="343"/>
      <c r="I81" s="345"/>
      <c r="J81" s="345"/>
      <c r="K81" s="335"/>
      <c r="L81" s="336"/>
      <c r="M81" s="335"/>
      <c r="N81" s="337"/>
    </row>
    <row r="82" spans="2:14" customFormat="1" ht="33" customHeight="1" x14ac:dyDescent="0.25">
      <c r="B82" s="335"/>
      <c r="C82" s="570" t="s">
        <v>427</v>
      </c>
      <c r="D82" s="573"/>
      <c r="E82" s="573"/>
      <c r="F82" s="573"/>
      <c r="G82" s="573"/>
      <c r="H82" s="574"/>
      <c r="I82" s="345"/>
      <c r="J82" s="345"/>
      <c r="K82" s="335"/>
      <c r="L82" s="336"/>
      <c r="M82" s="335"/>
      <c r="N82" s="337"/>
    </row>
    <row r="83" spans="2:14" customFormat="1" ht="22.5" customHeight="1" x14ac:dyDescent="0.25">
      <c r="B83" s="335"/>
      <c r="C83" s="350" t="s">
        <v>428</v>
      </c>
      <c r="D83" s="351"/>
      <c r="E83" s="351"/>
      <c r="F83" s="351"/>
      <c r="G83" s="351"/>
      <c r="H83" s="351"/>
      <c r="I83" s="345"/>
      <c r="J83" s="345"/>
      <c r="K83" s="335"/>
      <c r="L83" s="336"/>
      <c r="M83" s="335"/>
      <c r="N83" s="337"/>
    </row>
    <row r="84" spans="2:14" customFormat="1" ht="22.5" customHeight="1" x14ac:dyDescent="0.25">
      <c r="B84" s="335"/>
      <c r="C84" s="570" t="s">
        <v>429</v>
      </c>
      <c r="D84" s="573"/>
      <c r="E84" s="573"/>
      <c r="F84" s="573"/>
      <c r="G84" s="573"/>
      <c r="H84" s="574"/>
      <c r="I84" s="345"/>
      <c r="J84" s="345"/>
      <c r="K84" s="335"/>
      <c r="L84" s="336"/>
      <c r="M84" s="335"/>
      <c r="N84" s="337"/>
    </row>
    <row r="85" spans="2:14" x14ac:dyDescent="0.25">
      <c r="B85" s="25"/>
      <c r="C85" s="254"/>
      <c r="D85" s="255"/>
      <c r="E85" s="255"/>
      <c r="F85" s="255"/>
      <c r="G85" s="255"/>
      <c r="H85" s="255"/>
      <c r="I85" s="252"/>
      <c r="J85" s="252"/>
      <c r="K85" s="25"/>
      <c r="L85" s="79"/>
      <c r="M85" s="25"/>
      <c r="N85" s="80"/>
    </row>
    <row r="86" spans="2:14" x14ac:dyDescent="0.25">
      <c r="B86" s="22"/>
      <c r="C86" s="475"/>
      <c r="D86" s="518"/>
      <c r="E86" s="518"/>
      <c r="F86" s="518"/>
      <c r="G86" s="518"/>
      <c r="H86" s="253"/>
      <c r="I86" s="97"/>
      <c r="J86" s="97"/>
      <c r="K86" s="22"/>
      <c r="L86" s="85" t="s">
        <v>6</v>
      </c>
      <c r="M86" s="86" t="s">
        <v>5</v>
      </c>
      <c r="N86" s="87">
        <f>N22+N35+N48+N60</f>
        <v>380000</v>
      </c>
    </row>
    <row r="87" spans="2:14" ht="22.5" customHeight="1" x14ac:dyDescent="0.25">
      <c r="B87" s="88" t="s">
        <v>4</v>
      </c>
      <c r="C87" s="650" t="s">
        <v>430</v>
      </c>
      <c r="D87" s="651"/>
      <c r="E87" s="651"/>
      <c r="F87" s="651"/>
      <c r="G87" s="651"/>
      <c r="H87" s="651"/>
      <c r="I87" s="651"/>
      <c r="J87" s="651"/>
      <c r="K87" s="651"/>
      <c r="L87" s="651"/>
      <c r="M87" s="651"/>
      <c r="N87" s="652"/>
    </row>
    <row r="88" spans="2:14" ht="20.25" customHeight="1" x14ac:dyDescent="0.25">
      <c r="B88" s="73"/>
      <c r="C88" s="653" t="s">
        <v>431</v>
      </c>
      <c r="D88" s="654"/>
      <c r="E88" s="654"/>
      <c r="F88" s="654"/>
      <c r="G88" s="654"/>
      <c r="H88" s="654"/>
      <c r="I88" s="655"/>
      <c r="J88" s="441" t="s">
        <v>3</v>
      </c>
      <c r="K88" s="442"/>
      <c r="L88" s="442"/>
      <c r="M88" s="442"/>
      <c r="N88" s="443"/>
    </row>
    <row r="89" spans="2:14" ht="40.5" customHeight="1" x14ac:dyDescent="0.25">
      <c r="B89" s="78" t="s">
        <v>2</v>
      </c>
      <c r="C89" s="507"/>
      <c r="D89" s="508"/>
      <c r="E89" s="508"/>
      <c r="F89" s="508"/>
      <c r="G89" s="508"/>
      <c r="H89" s="508"/>
      <c r="I89" s="509"/>
      <c r="J89" s="445"/>
      <c r="K89" s="444"/>
      <c r="L89" s="444"/>
      <c r="M89" s="444"/>
      <c r="N89" s="444"/>
    </row>
    <row r="90" spans="2:14" x14ac:dyDescent="0.25">
      <c r="B90" s="78" t="s">
        <v>1</v>
      </c>
      <c r="C90" s="513" t="s">
        <v>216</v>
      </c>
      <c r="D90" s="440"/>
      <c r="E90" s="440"/>
      <c r="F90" s="440"/>
      <c r="G90" s="440"/>
      <c r="H90" s="440"/>
      <c r="I90" s="514"/>
      <c r="J90" s="441" t="s">
        <v>380</v>
      </c>
      <c r="K90" s="442"/>
      <c r="L90" s="442"/>
      <c r="M90" s="442"/>
      <c r="N90" s="443"/>
    </row>
    <row r="91" spans="2:14" x14ac:dyDescent="0.25">
      <c r="B91" s="83" t="s">
        <v>0</v>
      </c>
      <c r="C91" s="507" t="s">
        <v>217</v>
      </c>
      <c r="D91" s="508"/>
      <c r="E91" s="508"/>
      <c r="F91" s="508"/>
      <c r="G91" s="508"/>
      <c r="H91" s="508"/>
      <c r="I91" s="509"/>
      <c r="J91" s="445" t="s">
        <v>32</v>
      </c>
      <c r="K91" s="444"/>
      <c r="L91" s="444"/>
      <c r="M91" s="444"/>
      <c r="N91" s="446"/>
    </row>
  </sheetData>
  <mergeCells count="79">
    <mergeCell ref="C91:I91"/>
    <mergeCell ref="J91:N91"/>
    <mergeCell ref="C88:I88"/>
    <mergeCell ref="J88:N88"/>
    <mergeCell ref="C89:I89"/>
    <mergeCell ref="J89:N89"/>
    <mergeCell ref="C90:I90"/>
    <mergeCell ref="J90:N90"/>
    <mergeCell ref="C79:G79"/>
    <mergeCell ref="C82:H82"/>
    <mergeCell ref="C84:H84"/>
    <mergeCell ref="C86:G86"/>
    <mergeCell ref="C87:N87"/>
    <mergeCell ref="C73:I74"/>
    <mergeCell ref="C75:I75"/>
    <mergeCell ref="C76:I76"/>
    <mergeCell ref="C77:G77"/>
    <mergeCell ref="C78:G78"/>
    <mergeCell ref="C67:I67"/>
    <mergeCell ref="C69:I69"/>
    <mergeCell ref="C70:I70"/>
    <mergeCell ref="C71:I71"/>
    <mergeCell ref="C72:I72"/>
    <mergeCell ref="G57:H57"/>
    <mergeCell ref="G58:H58"/>
    <mergeCell ref="G59:H59"/>
    <mergeCell ref="C61:I61"/>
    <mergeCell ref="C66:I66"/>
    <mergeCell ref="C57:C59"/>
    <mergeCell ref="C43:G43"/>
    <mergeCell ref="G44:H44"/>
    <mergeCell ref="C45:C47"/>
    <mergeCell ref="G45:H45"/>
    <mergeCell ref="G46:H46"/>
    <mergeCell ref="G47:H47"/>
    <mergeCell ref="G18:H18"/>
    <mergeCell ref="C19:C21"/>
    <mergeCell ref="G19:H19"/>
    <mergeCell ref="G20:H20"/>
    <mergeCell ref="G21:H21"/>
    <mergeCell ref="C50:G50"/>
    <mergeCell ref="C51:G51"/>
    <mergeCell ref="C52:I52"/>
    <mergeCell ref="C53:I53"/>
    <mergeCell ref="G56:H56"/>
    <mergeCell ref="C54:G54"/>
    <mergeCell ref="C55:G55"/>
    <mergeCell ref="C48:I49"/>
    <mergeCell ref="C27:I27"/>
    <mergeCell ref="C28:I28"/>
    <mergeCell ref="C41:I41"/>
    <mergeCell ref="C29:G29"/>
    <mergeCell ref="C30:G30"/>
    <mergeCell ref="G31:H31"/>
    <mergeCell ref="C32:C34"/>
    <mergeCell ref="G32:H32"/>
    <mergeCell ref="C35:I35"/>
    <mergeCell ref="G34:H34"/>
    <mergeCell ref="C36:I37"/>
    <mergeCell ref="C38:G38"/>
    <mergeCell ref="C39:G39"/>
    <mergeCell ref="C40:I40"/>
    <mergeCell ref="C42:G42"/>
    <mergeCell ref="C22:I22"/>
    <mergeCell ref="C23:I24"/>
    <mergeCell ref="C25:G25"/>
    <mergeCell ref="C26:G26"/>
    <mergeCell ref="G33:H33"/>
    <mergeCell ref="C17:G17"/>
    <mergeCell ref="B1:N1"/>
    <mergeCell ref="B2:N2"/>
    <mergeCell ref="B3:N3"/>
    <mergeCell ref="C8:I8"/>
    <mergeCell ref="M8:N8"/>
    <mergeCell ref="C10:I11"/>
    <mergeCell ref="C12:G12"/>
    <mergeCell ref="C13:G13"/>
    <mergeCell ref="C15:I15"/>
    <mergeCell ref="C16:G16"/>
  </mergeCells>
  <printOptions horizontalCentered="1"/>
  <pageMargins left="0.25" right="0.25" top="0.75" bottom="0.75" header="0.3" footer="0.3"/>
  <pageSetup paperSize="9" scale="3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136FB-D572-401C-A6F4-D22786036683}">
  <sheetPr>
    <tabColor theme="4"/>
    <pageSetUpPr fitToPage="1"/>
  </sheetPr>
  <dimension ref="B1:R45"/>
  <sheetViews>
    <sheetView view="pageBreakPreview" topLeftCell="A11" zoomScale="85" zoomScaleNormal="100" zoomScaleSheetLayoutView="85" workbookViewId="0">
      <selection activeCell="C15" sqref="C15:I16"/>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23" t="s">
        <v>27</v>
      </c>
      <c r="C1" s="423"/>
      <c r="D1" s="423"/>
      <c r="E1" s="423"/>
      <c r="F1" s="423"/>
      <c r="G1" s="423"/>
      <c r="H1" s="423"/>
      <c r="I1" s="423"/>
      <c r="J1" s="423"/>
      <c r="K1" s="423"/>
      <c r="L1" s="423"/>
      <c r="M1" s="423"/>
      <c r="N1" s="423"/>
    </row>
    <row r="2" spans="2:18" x14ac:dyDescent="0.25">
      <c r="B2" s="575" t="s">
        <v>165</v>
      </c>
      <c r="C2" s="576"/>
      <c r="D2" s="576"/>
      <c r="E2" s="576"/>
      <c r="F2" s="576"/>
      <c r="G2" s="576"/>
      <c r="H2" s="576"/>
      <c r="I2" s="576"/>
      <c r="J2" s="576"/>
      <c r="K2" s="576"/>
      <c r="L2" s="576"/>
      <c r="M2" s="576"/>
      <c r="N2" s="577"/>
    </row>
    <row r="3" spans="2:18" x14ac:dyDescent="0.25">
      <c r="B3" s="606" t="s">
        <v>393</v>
      </c>
      <c r="C3" s="606"/>
      <c r="D3" s="606"/>
      <c r="E3" s="606"/>
      <c r="F3" s="606"/>
      <c r="G3" s="606"/>
      <c r="H3" s="606"/>
      <c r="I3" s="606"/>
      <c r="J3" s="606"/>
      <c r="K3" s="606"/>
      <c r="L3" s="606"/>
      <c r="M3" s="606"/>
      <c r="N3" s="606"/>
    </row>
    <row r="4" spans="2:18" x14ac:dyDescent="0.25">
      <c r="B4" s="599" t="s">
        <v>394</v>
      </c>
      <c r="C4" s="599"/>
      <c r="D4" s="599"/>
      <c r="E4" s="599"/>
      <c r="F4" s="599"/>
      <c r="G4" s="599"/>
      <c r="H4" s="599"/>
      <c r="I4" s="599"/>
      <c r="J4" s="599"/>
      <c r="K4" s="599"/>
      <c r="L4" s="599"/>
      <c r="M4" s="599"/>
      <c r="N4" s="599"/>
    </row>
    <row r="5" spans="2:18" x14ac:dyDescent="0.25">
      <c r="B5" s="599" t="s">
        <v>395</v>
      </c>
      <c r="C5" s="599"/>
      <c r="D5" s="599"/>
      <c r="E5" s="599"/>
      <c r="F5" s="599"/>
      <c r="G5" s="599"/>
      <c r="H5" s="599"/>
      <c r="I5" s="599"/>
      <c r="J5" s="599"/>
      <c r="K5" s="599"/>
      <c r="L5" s="599"/>
      <c r="M5" s="599"/>
      <c r="N5" s="599"/>
    </row>
    <row r="6" spans="2:18" x14ac:dyDescent="0.25">
      <c r="B6" s="599" t="s">
        <v>396</v>
      </c>
      <c r="C6" s="599"/>
      <c r="D6" s="599"/>
      <c r="E6" s="599"/>
      <c r="F6" s="599"/>
      <c r="G6" s="599"/>
      <c r="H6" s="599"/>
      <c r="I6" s="599"/>
      <c r="J6" s="599"/>
      <c r="K6" s="599"/>
      <c r="L6" s="599"/>
      <c r="M6" s="599"/>
      <c r="N6" s="599"/>
    </row>
    <row r="7" spans="2:18" x14ac:dyDescent="0.25">
      <c r="B7" s="599" t="s">
        <v>397</v>
      </c>
      <c r="C7" s="599"/>
      <c r="D7" s="599"/>
      <c r="E7" s="599"/>
      <c r="F7" s="599"/>
      <c r="G7" s="599"/>
      <c r="H7" s="599"/>
      <c r="I7" s="599"/>
      <c r="J7" s="599"/>
      <c r="K7" s="599"/>
      <c r="L7" s="599"/>
      <c r="M7" s="599"/>
      <c r="N7" s="599"/>
    </row>
    <row r="8" spans="2:18" x14ac:dyDescent="0.25">
      <c r="B8" s="182"/>
      <c r="L8" s="324"/>
      <c r="N8" s="325"/>
    </row>
    <row r="9" spans="2:18" ht="15.6" customHeight="1" x14ac:dyDescent="0.25">
      <c r="B9" s="578" t="s">
        <v>28</v>
      </c>
      <c r="C9" s="498"/>
      <c r="D9" s="498"/>
      <c r="E9" s="498"/>
      <c r="F9" s="498"/>
      <c r="G9" s="498"/>
      <c r="H9" s="498"/>
      <c r="I9" s="498"/>
      <c r="J9" s="498"/>
      <c r="K9" s="498"/>
      <c r="L9" s="498"/>
      <c r="M9" s="498"/>
      <c r="N9" s="579"/>
      <c r="O9" s="24"/>
      <c r="P9" s="24"/>
      <c r="Q9" s="24"/>
      <c r="R9" s="24"/>
    </row>
    <row r="10" spans="2:18" ht="15.6" customHeight="1" x14ac:dyDescent="0.25">
      <c r="B10" s="209"/>
      <c r="C10" s="74"/>
      <c r="D10" s="74"/>
      <c r="E10" s="74"/>
      <c r="F10" s="74"/>
      <c r="G10" s="74"/>
      <c r="H10" s="74"/>
      <c r="I10" s="75"/>
      <c r="J10" s="75"/>
      <c r="K10" s="29" t="s">
        <v>398</v>
      </c>
      <c r="L10" s="28"/>
      <c r="M10" s="29"/>
      <c r="N10" s="264" t="s">
        <v>432</v>
      </c>
      <c r="O10" s="32"/>
      <c r="P10" s="32"/>
      <c r="Q10" s="32"/>
      <c r="R10" s="32"/>
    </row>
    <row r="11" spans="2:18" ht="15.6" customHeight="1" x14ac:dyDescent="0.25">
      <c r="B11" s="177" t="s">
        <v>26</v>
      </c>
      <c r="C11" s="32" t="s">
        <v>30</v>
      </c>
      <c r="D11" s="32"/>
      <c r="E11" s="32"/>
      <c r="F11" s="32"/>
      <c r="G11" s="32"/>
      <c r="H11" s="32"/>
      <c r="I11" s="32"/>
      <c r="J11" s="14"/>
      <c r="K11" s="24" t="s">
        <v>25</v>
      </c>
      <c r="L11" s="76"/>
      <c r="M11" s="24"/>
      <c r="N11" s="265" t="s">
        <v>22</v>
      </c>
      <c r="O11" s="32"/>
      <c r="P11" s="32"/>
      <c r="Q11" s="32"/>
      <c r="R11" s="32"/>
    </row>
    <row r="12" spans="2:18" ht="15.6" customHeight="1" x14ac:dyDescent="0.25">
      <c r="B12" s="179" t="s">
        <v>24</v>
      </c>
      <c r="C12" s="72" t="s">
        <v>47</v>
      </c>
      <c r="D12" s="71"/>
      <c r="E12" s="71"/>
      <c r="F12" s="71"/>
      <c r="G12" s="71"/>
      <c r="H12" s="71"/>
      <c r="I12" s="72"/>
      <c r="J12" s="21"/>
      <c r="K12" s="20" t="s">
        <v>23</v>
      </c>
      <c r="L12" s="77"/>
      <c r="M12" s="20"/>
      <c r="N12" s="266" t="s">
        <v>22</v>
      </c>
    </row>
    <row r="13" spans="2:18" ht="30.6" customHeight="1" x14ac:dyDescent="0.25">
      <c r="B13" s="267" t="s">
        <v>29</v>
      </c>
      <c r="C13" s="500" t="s">
        <v>19</v>
      </c>
      <c r="D13" s="501"/>
      <c r="E13" s="501"/>
      <c r="F13" s="501"/>
      <c r="G13" s="501"/>
      <c r="H13" s="501"/>
      <c r="I13" s="502"/>
      <c r="J13" s="249" t="s">
        <v>21</v>
      </c>
      <c r="K13" s="249" t="s">
        <v>20</v>
      </c>
      <c r="L13" s="18" t="s">
        <v>18</v>
      </c>
      <c r="M13" s="500" t="s">
        <v>17</v>
      </c>
      <c r="N13" s="580"/>
    </row>
    <row r="14" spans="2:18" ht="16.149999999999999" customHeight="1" x14ac:dyDescent="0.25">
      <c r="B14" s="268"/>
      <c r="C14" s="91"/>
      <c r="D14" s="92"/>
      <c r="E14" s="92"/>
      <c r="F14" s="92"/>
      <c r="G14" s="92"/>
      <c r="H14" s="92"/>
      <c r="I14" s="93"/>
      <c r="J14" s="33"/>
      <c r="K14" s="16"/>
      <c r="L14" s="17"/>
      <c r="M14" s="16"/>
      <c r="N14" s="269"/>
    </row>
    <row r="15" spans="2:18" x14ac:dyDescent="0.25">
      <c r="B15" s="177"/>
      <c r="C15" s="523" t="s">
        <v>433</v>
      </c>
      <c r="D15" s="524"/>
      <c r="E15" s="524"/>
      <c r="F15" s="524"/>
      <c r="G15" s="524"/>
      <c r="H15" s="524"/>
      <c r="I15" s="525"/>
      <c r="J15" s="34"/>
      <c r="K15" s="25"/>
      <c r="L15" s="79"/>
      <c r="M15" s="25"/>
      <c r="N15" s="270"/>
    </row>
    <row r="16" spans="2:18" x14ac:dyDescent="0.25">
      <c r="B16" s="177"/>
      <c r="C16" s="523"/>
      <c r="D16" s="524"/>
      <c r="E16" s="524"/>
      <c r="F16" s="524"/>
      <c r="G16" s="524"/>
      <c r="H16" s="524"/>
      <c r="I16" s="525"/>
      <c r="J16" s="34"/>
      <c r="K16" s="25"/>
      <c r="L16" s="79"/>
      <c r="M16" s="25"/>
      <c r="N16" s="270"/>
    </row>
    <row r="17" spans="2:14" x14ac:dyDescent="0.25">
      <c r="B17" s="177"/>
      <c r="C17" s="526"/>
      <c r="D17" s="527"/>
      <c r="E17" s="527"/>
      <c r="F17" s="527"/>
      <c r="G17" s="527"/>
      <c r="H17" s="255"/>
      <c r="I17" s="252"/>
      <c r="J17" s="35"/>
      <c r="K17" s="25"/>
      <c r="L17" s="79"/>
      <c r="M17" s="25"/>
      <c r="N17" s="270"/>
    </row>
    <row r="18" spans="2:14" ht="15.75" customHeight="1" x14ac:dyDescent="0.25">
      <c r="B18" s="177"/>
      <c r="C18" s="526" t="s">
        <v>400</v>
      </c>
      <c r="D18" s="527"/>
      <c r="E18" s="527"/>
      <c r="F18" s="527"/>
      <c r="G18" s="527"/>
      <c r="H18" s="527"/>
      <c r="I18" s="255"/>
      <c r="J18" s="35"/>
      <c r="K18" s="25"/>
      <c r="L18" s="79"/>
      <c r="M18" s="25"/>
      <c r="N18" s="270"/>
    </row>
    <row r="19" spans="2:14" x14ac:dyDescent="0.25">
      <c r="B19" s="177"/>
      <c r="C19" s="438" t="s">
        <v>434</v>
      </c>
      <c r="D19" s="564"/>
      <c r="E19" s="564"/>
      <c r="F19" s="564"/>
      <c r="G19" s="564"/>
      <c r="H19" s="564"/>
      <c r="I19" s="439"/>
      <c r="J19" s="35"/>
      <c r="K19" s="25"/>
      <c r="L19" s="79"/>
      <c r="M19" s="25"/>
      <c r="N19" s="270"/>
    </row>
    <row r="20" spans="2:14" x14ac:dyDescent="0.25">
      <c r="B20" s="177"/>
      <c r="C20" s="254"/>
      <c r="D20" s="255"/>
      <c r="E20" s="255"/>
      <c r="F20" s="255"/>
      <c r="G20" s="255"/>
      <c r="H20" s="255"/>
      <c r="I20" s="252"/>
      <c r="J20" s="35"/>
      <c r="K20" s="25"/>
      <c r="L20" s="79"/>
      <c r="M20" s="25"/>
      <c r="N20" s="270"/>
    </row>
    <row r="21" spans="2:14" x14ac:dyDescent="0.25">
      <c r="B21" s="177"/>
      <c r="C21" s="565" t="s">
        <v>399</v>
      </c>
      <c r="D21" s="566"/>
      <c r="E21" s="566"/>
      <c r="F21" s="566"/>
      <c r="G21" s="566"/>
      <c r="H21" s="251"/>
      <c r="I21" s="94"/>
      <c r="J21" s="37"/>
      <c r="K21" s="25"/>
      <c r="L21" s="79"/>
      <c r="M21" s="25"/>
      <c r="N21" s="270"/>
    </row>
    <row r="22" spans="2:14" ht="31.5" x14ac:dyDescent="0.25">
      <c r="B22" s="177"/>
      <c r="C22" s="256" t="s">
        <v>15</v>
      </c>
      <c r="D22" s="256" t="s">
        <v>14</v>
      </c>
      <c r="E22" s="256" t="s">
        <v>13</v>
      </c>
      <c r="F22" s="256" t="s">
        <v>12</v>
      </c>
      <c r="G22" s="469" t="s">
        <v>11</v>
      </c>
      <c r="H22" s="469"/>
      <c r="I22" s="60" t="s">
        <v>10</v>
      </c>
      <c r="J22" s="36"/>
      <c r="K22" s="25"/>
      <c r="L22" s="79"/>
      <c r="M22" s="25"/>
      <c r="N22" s="270"/>
    </row>
    <row r="23" spans="2:14" ht="49.9" customHeight="1" x14ac:dyDescent="0.25">
      <c r="B23" s="177"/>
      <c r="C23" s="212">
        <v>36</v>
      </c>
      <c r="D23" s="220" t="s">
        <v>51</v>
      </c>
      <c r="E23" s="220" t="s">
        <v>132</v>
      </c>
      <c r="F23" s="150">
        <v>45421</v>
      </c>
      <c r="G23" s="506" t="s">
        <v>391</v>
      </c>
      <c r="H23" s="506"/>
      <c r="I23" s="597" t="s">
        <v>140</v>
      </c>
      <c r="J23" s="219">
        <v>36</v>
      </c>
      <c r="K23" s="90" t="s">
        <v>55</v>
      </c>
      <c r="L23" s="81">
        <v>100</v>
      </c>
      <c r="M23" s="90"/>
      <c r="N23" s="271">
        <f>J23*L23</f>
        <v>3600</v>
      </c>
    </row>
    <row r="24" spans="2:14" ht="92.45" customHeight="1" x14ac:dyDescent="0.25">
      <c r="B24" s="177"/>
      <c r="C24" s="212">
        <v>36</v>
      </c>
      <c r="D24" s="220" t="s">
        <v>9</v>
      </c>
      <c r="E24" s="220" t="s">
        <v>132</v>
      </c>
      <c r="F24" s="150">
        <v>45421</v>
      </c>
      <c r="G24" s="506" t="s">
        <v>390</v>
      </c>
      <c r="H24" s="506"/>
      <c r="I24" s="597"/>
      <c r="J24" s="219">
        <v>36</v>
      </c>
      <c r="K24" s="90" t="s">
        <v>55</v>
      </c>
      <c r="L24" s="81">
        <v>200</v>
      </c>
      <c r="M24" s="90"/>
      <c r="N24" s="271">
        <f t="shared" ref="N24:N25" si="0">J24*L24</f>
        <v>7200</v>
      </c>
    </row>
    <row r="25" spans="2:14" ht="57.6" customHeight="1" x14ac:dyDescent="0.25">
      <c r="B25" s="177"/>
      <c r="C25" s="212">
        <v>36</v>
      </c>
      <c r="D25" s="220" t="s">
        <v>133</v>
      </c>
      <c r="E25" s="220" t="s">
        <v>132</v>
      </c>
      <c r="F25" s="150">
        <v>45421</v>
      </c>
      <c r="G25" s="506" t="s">
        <v>392</v>
      </c>
      <c r="H25" s="506"/>
      <c r="I25" s="598"/>
      <c r="J25" s="219">
        <v>36</v>
      </c>
      <c r="K25" s="90" t="s">
        <v>55</v>
      </c>
      <c r="L25" s="98">
        <v>100</v>
      </c>
      <c r="M25" s="90"/>
      <c r="N25" s="271">
        <f t="shared" si="0"/>
        <v>3600</v>
      </c>
    </row>
    <row r="26" spans="2:14" x14ac:dyDescent="0.25">
      <c r="B26" s="177"/>
      <c r="C26" s="523"/>
      <c r="D26" s="524"/>
      <c r="E26" s="524"/>
      <c r="F26" s="524"/>
      <c r="G26" s="524"/>
      <c r="H26" s="524"/>
      <c r="I26" s="525"/>
      <c r="J26" s="257"/>
      <c r="K26" s="25"/>
      <c r="L26" s="79"/>
      <c r="M26" s="25"/>
      <c r="N26" s="270"/>
    </row>
    <row r="27" spans="2:14" x14ac:dyDescent="0.25">
      <c r="B27" s="177"/>
      <c r="C27" s="561"/>
      <c r="D27" s="562"/>
      <c r="E27" s="562"/>
      <c r="F27" s="562"/>
      <c r="G27" s="562"/>
      <c r="H27" s="562"/>
      <c r="I27" s="563"/>
      <c r="J27" s="257"/>
      <c r="K27" s="25"/>
      <c r="L27" s="79"/>
      <c r="M27" s="25"/>
      <c r="N27" s="270"/>
    </row>
    <row r="28" spans="2:14" x14ac:dyDescent="0.25">
      <c r="B28" s="177"/>
      <c r="C28" s="96" t="s">
        <v>33</v>
      </c>
      <c r="D28" s="251"/>
      <c r="E28" s="251"/>
      <c r="F28" s="251"/>
      <c r="G28" s="251"/>
      <c r="H28" s="251"/>
      <c r="I28" s="116"/>
      <c r="J28" s="257"/>
      <c r="K28" s="25"/>
      <c r="L28" s="79"/>
      <c r="M28" s="25"/>
      <c r="N28" s="270"/>
    </row>
    <row r="29" spans="2:14" x14ac:dyDescent="0.25">
      <c r="B29" s="177"/>
      <c r="C29" s="95" t="s">
        <v>34</v>
      </c>
      <c r="D29" s="251"/>
      <c r="E29" s="251"/>
      <c r="F29" s="251"/>
      <c r="G29" s="251"/>
      <c r="H29" s="251"/>
      <c r="I29" s="116"/>
      <c r="J29" s="257"/>
      <c r="K29" s="25"/>
      <c r="L29" s="79"/>
      <c r="M29" s="25"/>
      <c r="N29" s="270"/>
    </row>
    <row r="30" spans="2:14" x14ac:dyDescent="0.25">
      <c r="B30" s="177"/>
      <c r="C30" s="95" t="s">
        <v>35</v>
      </c>
      <c r="D30" s="251"/>
      <c r="E30" s="251"/>
      <c r="F30" s="251"/>
      <c r="G30" s="251"/>
      <c r="H30" s="251"/>
      <c r="I30" s="116"/>
      <c r="J30" s="257"/>
      <c r="K30" s="25"/>
      <c r="L30" s="79"/>
      <c r="M30" s="25"/>
      <c r="N30" s="270"/>
    </row>
    <row r="31" spans="2:14" x14ac:dyDescent="0.25">
      <c r="B31" s="177"/>
      <c r="C31" s="95"/>
      <c r="D31" s="251" t="s">
        <v>50</v>
      </c>
      <c r="E31" s="251"/>
      <c r="F31" s="251"/>
      <c r="G31" s="251"/>
      <c r="H31" s="251"/>
      <c r="I31" s="116"/>
      <c r="J31" s="257"/>
      <c r="K31" s="25"/>
      <c r="L31" s="79"/>
      <c r="M31" s="25"/>
      <c r="N31" s="270"/>
    </row>
    <row r="32" spans="2:14" x14ac:dyDescent="0.25">
      <c r="B32" s="177"/>
      <c r="C32" s="96" t="s">
        <v>36</v>
      </c>
      <c r="D32" s="251"/>
      <c r="E32" s="251"/>
      <c r="F32" s="251"/>
      <c r="G32" s="251"/>
      <c r="H32" s="251"/>
      <c r="I32" s="116"/>
      <c r="J32" s="257"/>
      <c r="K32" s="25"/>
      <c r="L32" s="79"/>
      <c r="M32" s="25"/>
      <c r="N32" s="270"/>
    </row>
    <row r="33" spans="2:15" x14ac:dyDescent="0.25">
      <c r="B33" s="177"/>
      <c r="C33" s="95" t="s">
        <v>37</v>
      </c>
      <c r="D33" s="251"/>
      <c r="E33" s="251"/>
      <c r="F33" s="251"/>
      <c r="G33" s="251"/>
      <c r="H33" s="251"/>
      <c r="I33" s="116"/>
      <c r="J33" s="257"/>
      <c r="K33" s="25"/>
      <c r="L33" s="79"/>
      <c r="M33" s="25"/>
      <c r="N33" s="270"/>
    </row>
    <row r="34" spans="2:15" x14ac:dyDescent="0.25">
      <c r="B34" s="177"/>
      <c r="C34" s="95"/>
      <c r="D34" s="251"/>
      <c r="E34" s="251"/>
      <c r="F34" s="251"/>
      <c r="G34" s="251"/>
      <c r="H34" s="251"/>
      <c r="I34" s="116"/>
      <c r="J34" s="257"/>
      <c r="K34" s="25"/>
      <c r="L34" s="79"/>
      <c r="M34" s="25"/>
      <c r="N34" s="270"/>
    </row>
    <row r="35" spans="2:15" x14ac:dyDescent="0.25">
      <c r="B35" s="177"/>
      <c r="C35" s="250"/>
      <c r="D35" s="251"/>
      <c r="E35" s="251"/>
      <c r="F35" s="251"/>
      <c r="G35" s="251"/>
      <c r="H35" s="251"/>
      <c r="I35" s="116"/>
      <c r="J35" s="257"/>
      <c r="K35" s="25"/>
      <c r="L35" s="79"/>
      <c r="M35" s="25"/>
      <c r="N35" s="270"/>
    </row>
    <row r="36" spans="2:15" x14ac:dyDescent="0.25">
      <c r="B36" s="177"/>
      <c r="C36" s="99" t="s">
        <v>8</v>
      </c>
      <c r="D36" s="251"/>
      <c r="E36" s="251"/>
      <c r="F36" s="251"/>
      <c r="G36" s="251"/>
      <c r="H36" s="251"/>
      <c r="I36" s="94"/>
      <c r="J36" s="37"/>
      <c r="K36" s="25"/>
      <c r="L36" s="79"/>
      <c r="M36" s="25"/>
      <c r="N36" s="270"/>
    </row>
    <row r="37" spans="2:15" x14ac:dyDescent="0.25">
      <c r="B37" s="179"/>
      <c r="C37" s="22" t="s">
        <v>38</v>
      </c>
      <c r="D37" s="253"/>
      <c r="E37" s="253"/>
      <c r="F37" s="253"/>
      <c r="G37" s="253"/>
      <c r="H37" s="253"/>
      <c r="I37" s="97"/>
      <c r="J37" s="84"/>
      <c r="K37" s="22"/>
      <c r="L37" s="156"/>
      <c r="M37" s="22"/>
      <c r="N37" s="273"/>
    </row>
    <row r="38" spans="2:15" x14ac:dyDescent="0.25">
      <c r="B38" s="179"/>
      <c r="C38" s="475"/>
      <c r="D38" s="518"/>
      <c r="E38" s="518"/>
      <c r="F38" s="518"/>
      <c r="G38" s="518"/>
      <c r="H38" s="253"/>
      <c r="I38" s="97"/>
      <c r="J38" s="84"/>
      <c r="K38" s="22"/>
      <c r="L38" s="85" t="s">
        <v>6</v>
      </c>
      <c r="M38" s="86" t="s">
        <v>5</v>
      </c>
      <c r="N38" s="274">
        <f>SUM(N23:N26)</f>
        <v>14400</v>
      </c>
    </row>
    <row r="39" spans="2:15" ht="15.6" customHeight="1" x14ac:dyDescent="0.25">
      <c r="B39" s="275" t="s">
        <v>4</v>
      </c>
      <c r="C39" s="557" t="s">
        <v>433</v>
      </c>
      <c r="D39" s="558"/>
      <c r="E39" s="558"/>
      <c r="F39" s="558"/>
      <c r="G39" s="558"/>
      <c r="H39" s="558"/>
      <c r="I39" s="558"/>
      <c r="J39" s="558"/>
      <c r="K39" s="558"/>
      <c r="L39" s="558"/>
      <c r="M39" s="558"/>
      <c r="N39" s="559"/>
    </row>
    <row r="40" spans="2:15" x14ac:dyDescent="0.25">
      <c r="B40" s="209"/>
      <c r="C40" s="445"/>
      <c r="D40" s="444"/>
      <c r="E40" s="444"/>
      <c r="F40" s="444"/>
      <c r="G40" s="444"/>
      <c r="H40" s="444"/>
      <c r="I40" s="446"/>
      <c r="J40" s="441" t="s">
        <v>3</v>
      </c>
      <c r="K40" s="442"/>
      <c r="L40" s="442"/>
      <c r="M40" s="442"/>
      <c r="N40" s="550"/>
    </row>
    <row r="41" spans="2:15" x14ac:dyDescent="0.25">
      <c r="B41" s="210" t="s">
        <v>2</v>
      </c>
      <c r="C41" s="507"/>
      <c r="D41" s="508"/>
      <c r="E41" s="508"/>
      <c r="F41" s="508"/>
      <c r="G41" s="508"/>
      <c r="H41" s="508"/>
      <c r="I41" s="509"/>
      <c r="J41" s="445"/>
      <c r="K41" s="444"/>
      <c r="L41" s="444"/>
      <c r="M41" s="444"/>
      <c r="N41" s="560"/>
    </row>
    <row r="42" spans="2:15" x14ac:dyDescent="0.25">
      <c r="B42" s="210" t="s">
        <v>1</v>
      </c>
      <c r="C42" s="513" t="s">
        <v>216</v>
      </c>
      <c r="D42" s="440"/>
      <c r="E42" s="440"/>
      <c r="F42" s="440"/>
      <c r="G42" s="440"/>
      <c r="H42" s="440"/>
      <c r="I42" s="514"/>
      <c r="J42" s="441" t="s">
        <v>380</v>
      </c>
      <c r="K42" s="442"/>
      <c r="L42" s="442"/>
      <c r="M42" s="442"/>
      <c r="N42" s="550"/>
    </row>
    <row r="43" spans="2:15" ht="16.5" thickBot="1" x14ac:dyDescent="0.3">
      <c r="B43" s="211" t="s">
        <v>0</v>
      </c>
      <c r="C43" s="551" t="s">
        <v>217</v>
      </c>
      <c r="D43" s="552"/>
      <c r="E43" s="552"/>
      <c r="F43" s="552"/>
      <c r="G43" s="552"/>
      <c r="H43" s="552"/>
      <c r="I43" s="553"/>
      <c r="J43" s="554" t="s">
        <v>32</v>
      </c>
      <c r="K43" s="555"/>
      <c r="L43" s="555"/>
      <c r="M43" s="555"/>
      <c r="N43" s="556"/>
    </row>
    <row r="44" spans="2:15"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32">
    <mergeCell ref="C42:I42"/>
    <mergeCell ref="J42:N42"/>
    <mergeCell ref="C43:I43"/>
    <mergeCell ref="J43:N43"/>
    <mergeCell ref="C38:G38"/>
    <mergeCell ref="C39:N39"/>
    <mergeCell ref="C40:I40"/>
    <mergeCell ref="J40:N40"/>
    <mergeCell ref="C41:I41"/>
    <mergeCell ref="J41:N41"/>
    <mergeCell ref="C27:I27"/>
    <mergeCell ref="C26:I26"/>
    <mergeCell ref="C18:H18"/>
    <mergeCell ref="C19:I19"/>
    <mergeCell ref="C21:G21"/>
    <mergeCell ref="G22:H22"/>
    <mergeCell ref="G23:H23"/>
    <mergeCell ref="I23:I25"/>
    <mergeCell ref="G24:H24"/>
    <mergeCell ref="G25:H25"/>
    <mergeCell ref="C17:G17"/>
    <mergeCell ref="B1:N1"/>
    <mergeCell ref="B2:N2"/>
    <mergeCell ref="B3:N3"/>
    <mergeCell ref="B4:N4"/>
    <mergeCell ref="B5:N5"/>
    <mergeCell ref="B6:N6"/>
    <mergeCell ref="B7:N7"/>
    <mergeCell ref="B9:N9"/>
    <mergeCell ref="C13:I13"/>
    <mergeCell ref="M13:N13"/>
    <mergeCell ref="C15:I16"/>
  </mergeCells>
  <printOptions horizontalCentered="1"/>
  <pageMargins left="0.25" right="0.25" top="0.75" bottom="0.75" header="0.3" footer="0.3"/>
  <pageSetup paperSize="9" scale="53" fitToHeight="2"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2B01-D33D-42AB-9FE6-6ADAF17BC7A0}">
  <sheetPr>
    <tabColor theme="4"/>
    <pageSetUpPr fitToPage="1"/>
  </sheetPr>
  <dimension ref="B1:R45"/>
  <sheetViews>
    <sheetView view="pageBreakPreview" topLeftCell="A11" zoomScale="85" zoomScaleNormal="100" zoomScaleSheetLayoutView="85" workbookViewId="0">
      <selection activeCell="G23" sqref="G23:H25"/>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656" t="s">
        <v>27</v>
      </c>
      <c r="C1" s="657"/>
      <c r="D1" s="657"/>
      <c r="E1" s="657"/>
      <c r="F1" s="657"/>
      <c r="G1" s="657"/>
      <c r="H1" s="657"/>
      <c r="I1" s="657"/>
      <c r="J1" s="657"/>
      <c r="K1" s="657"/>
      <c r="L1" s="657"/>
      <c r="M1" s="657"/>
      <c r="N1" s="658"/>
    </row>
    <row r="2" spans="2:18" x14ac:dyDescent="0.25">
      <c r="B2" s="659" t="s">
        <v>165</v>
      </c>
      <c r="C2" s="547"/>
      <c r="D2" s="547"/>
      <c r="E2" s="547"/>
      <c r="F2" s="547"/>
      <c r="G2" s="547"/>
      <c r="H2" s="547"/>
      <c r="I2" s="547"/>
      <c r="J2" s="547"/>
      <c r="K2" s="547"/>
      <c r="L2" s="547"/>
      <c r="M2" s="547"/>
      <c r="N2" s="660"/>
    </row>
    <row r="3" spans="2:18" x14ac:dyDescent="0.25">
      <c r="B3" s="659" t="s">
        <v>393</v>
      </c>
      <c r="C3" s="546"/>
      <c r="D3" s="546"/>
      <c r="E3" s="546"/>
      <c r="F3" s="546"/>
      <c r="G3" s="546"/>
      <c r="H3" s="546"/>
      <c r="I3" s="546"/>
      <c r="J3" s="546"/>
      <c r="K3" s="546"/>
      <c r="L3" s="546"/>
      <c r="M3" s="546"/>
      <c r="N3" s="661"/>
    </row>
    <row r="4" spans="2:18" x14ac:dyDescent="0.25">
      <c r="B4" s="662" t="s">
        <v>394</v>
      </c>
      <c r="C4" s="548"/>
      <c r="D4" s="548"/>
      <c r="E4" s="548"/>
      <c r="F4" s="548"/>
      <c r="G4" s="548"/>
      <c r="H4" s="548"/>
      <c r="I4" s="548"/>
      <c r="J4" s="548"/>
      <c r="K4" s="548"/>
      <c r="L4" s="548"/>
      <c r="M4" s="548"/>
      <c r="N4" s="663"/>
    </row>
    <row r="5" spans="2:18" x14ac:dyDescent="0.25">
      <c r="B5" s="662" t="s">
        <v>395</v>
      </c>
      <c r="C5" s="548"/>
      <c r="D5" s="548"/>
      <c r="E5" s="548"/>
      <c r="F5" s="548"/>
      <c r="G5" s="548"/>
      <c r="H5" s="548"/>
      <c r="I5" s="548"/>
      <c r="J5" s="548"/>
      <c r="K5" s="548"/>
      <c r="L5" s="548"/>
      <c r="M5" s="548"/>
      <c r="N5" s="663"/>
    </row>
    <row r="6" spans="2:18" x14ac:dyDescent="0.25">
      <c r="B6" s="662" t="s">
        <v>396</v>
      </c>
      <c r="C6" s="548"/>
      <c r="D6" s="548"/>
      <c r="E6" s="548"/>
      <c r="F6" s="548"/>
      <c r="G6" s="548"/>
      <c r="H6" s="548"/>
      <c r="I6" s="548"/>
      <c r="J6" s="548"/>
      <c r="K6" s="548"/>
      <c r="L6" s="548"/>
      <c r="M6" s="548"/>
      <c r="N6" s="663"/>
    </row>
    <row r="7" spans="2:18" x14ac:dyDescent="0.25">
      <c r="B7" s="662" t="s">
        <v>397</v>
      </c>
      <c r="C7" s="548"/>
      <c r="D7" s="548"/>
      <c r="E7" s="548"/>
      <c r="F7" s="548"/>
      <c r="G7" s="548"/>
      <c r="H7" s="548"/>
      <c r="I7" s="548"/>
      <c r="J7" s="548"/>
      <c r="K7" s="548"/>
      <c r="L7" s="548"/>
      <c r="M7" s="548"/>
      <c r="N7" s="663"/>
    </row>
    <row r="8" spans="2:18" x14ac:dyDescent="0.25">
      <c r="L8" s="324"/>
      <c r="N8" s="324"/>
    </row>
    <row r="9" spans="2:18" ht="15.6" customHeight="1" x14ac:dyDescent="0.25">
      <c r="B9" s="664" t="s">
        <v>28</v>
      </c>
      <c r="C9" s="665"/>
      <c r="D9" s="665"/>
      <c r="E9" s="665"/>
      <c r="F9" s="665"/>
      <c r="G9" s="665"/>
      <c r="H9" s="665"/>
      <c r="I9" s="665"/>
      <c r="J9" s="665"/>
      <c r="K9" s="665"/>
      <c r="L9" s="665"/>
      <c r="M9" s="665"/>
      <c r="N9" s="666"/>
      <c r="O9" s="24"/>
      <c r="P9" s="24"/>
      <c r="Q9" s="24"/>
      <c r="R9" s="24"/>
    </row>
    <row r="10" spans="2:18" ht="15.6" customHeight="1" x14ac:dyDescent="0.25">
      <c r="B10" s="209"/>
      <c r="C10" s="74"/>
      <c r="D10" s="74"/>
      <c r="E10" s="74"/>
      <c r="F10" s="74"/>
      <c r="G10" s="74"/>
      <c r="H10" s="74"/>
      <c r="I10" s="75"/>
      <c r="J10" s="75"/>
      <c r="K10" s="29" t="s">
        <v>398</v>
      </c>
      <c r="L10" s="28"/>
      <c r="M10" s="29"/>
      <c r="N10" s="264" t="s">
        <v>543</v>
      </c>
      <c r="O10" s="32"/>
      <c r="P10" s="32"/>
      <c r="Q10" s="32"/>
      <c r="R10" s="32"/>
    </row>
    <row r="11" spans="2:18" ht="15.6" customHeight="1" x14ac:dyDescent="0.25">
      <c r="B11" s="177" t="s">
        <v>26</v>
      </c>
      <c r="C11" s="32" t="s">
        <v>30</v>
      </c>
      <c r="D11" s="32"/>
      <c r="E11" s="32"/>
      <c r="F11" s="32"/>
      <c r="G11" s="32"/>
      <c r="H11" s="32"/>
      <c r="I11" s="32"/>
      <c r="J11" s="14"/>
      <c r="K11" s="24" t="s">
        <v>25</v>
      </c>
      <c r="L11" s="76"/>
      <c r="M11" s="24"/>
      <c r="N11" s="265" t="s">
        <v>22</v>
      </c>
      <c r="O11" s="32"/>
      <c r="P11" s="32"/>
      <c r="Q11" s="32"/>
      <c r="R11" s="32"/>
    </row>
    <row r="12" spans="2:18" ht="15.6" customHeight="1" x14ac:dyDescent="0.25">
      <c r="B12" s="179" t="s">
        <v>24</v>
      </c>
      <c r="C12" s="72" t="s">
        <v>47</v>
      </c>
      <c r="D12" s="71"/>
      <c r="E12" s="71"/>
      <c r="F12" s="71"/>
      <c r="G12" s="71"/>
      <c r="H12" s="71"/>
      <c r="I12" s="72"/>
      <c r="J12" s="21"/>
      <c r="K12" s="20" t="s">
        <v>23</v>
      </c>
      <c r="L12" s="77"/>
      <c r="M12" s="20"/>
      <c r="N12" s="266" t="s">
        <v>22</v>
      </c>
    </row>
    <row r="13" spans="2:18" ht="30.6" customHeight="1" x14ac:dyDescent="0.25">
      <c r="B13" s="267" t="s">
        <v>29</v>
      </c>
      <c r="C13" s="500" t="s">
        <v>19</v>
      </c>
      <c r="D13" s="501"/>
      <c r="E13" s="501"/>
      <c r="F13" s="501"/>
      <c r="G13" s="501"/>
      <c r="H13" s="501"/>
      <c r="I13" s="502"/>
      <c r="J13" s="249" t="s">
        <v>21</v>
      </c>
      <c r="K13" s="249" t="s">
        <v>20</v>
      </c>
      <c r="L13" s="18" t="s">
        <v>18</v>
      </c>
      <c r="M13" s="500" t="s">
        <v>17</v>
      </c>
      <c r="N13" s="580"/>
    </row>
    <row r="14" spans="2:18" ht="16.149999999999999" customHeight="1" x14ac:dyDescent="0.25">
      <c r="B14" s="268"/>
      <c r="C14" s="91"/>
      <c r="D14" s="92"/>
      <c r="E14" s="92"/>
      <c r="F14" s="92"/>
      <c r="G14" s="92"/>
      <c r="H14" s="92"/>
      <c r="I14" s="93"/>
      <c r="J14" s="33"/>
      <c r="K14" s="16"/>
      <c r="L14" s="17"/>
      <c r="M14" s="16"/>
      <c r="N14" s="269"/>
    </row>
    <row r="15" spans="2:18" x14ac:dyDescent="0.25">
      <c r="B15" s="177"/>
      <c r="C15" s="523" t="s">
        <v>519</v>
      </c>
      <c r="D15" s="524"/>
      <c r="E15" s="524"/>
      <c r="F15" s="524"/>
      <c r="G15" s="524"/>
      <c r="H15" s="524"/>
      <c r="I15" s="525"/>
      <c r="J15" s="34"/>
      <c r="K15" s="25"/>
      <c r="L15" s="79"/>
      <c r="M15" s="25"/>
      <c r="N15" s="270"/>
    </row>
    <row r="16" spans="2:18" x14ac:dyDescent="0.25">
      <c r="B16" s="177"/>
      <c r="C16" s="523"/>
      <c r="D16" s="524"/>
      <c r="E16" s="524"/>
      <c r="F16" s="524"/>
      <c r="G16" s="524"/>
      <c r="H16" s="524"/>
      <c r="I16" s="525"/>
      <c r="J16" s="34"/>
      <c r="K16" s="25"/>
      <c r="L16" s="79"/>
      <c r="M16" s="25"/>
      <c r="N16" s="270"/>
    </row>
    <row r="17" spans="2:14" x14ac:dyDescent="0.25">
      <c r="B17" s="177"/>
      <c r="C17" s="526"/>
      <c r="D17" s="527"/>
      <c r="E17" s="527"/>
      <c r="F17" s="527"/>
      <c r="G17" s="527"/>
      <c r="H17" s="255"/>
      <c r="I17" s="252"/>
      <c r="J17" s="35"/>
      <c r="K17" s="25"/>
      <c r="L17" s="79"/>
      <c r="M17" s="25"/>
      <c r="N17" s="270"/>
    </row>
    <row r="18" spans="2:14" ht="15.75" customHeight="1" x14ac:dyDescent="0.25">
      <c r="B18" s="177"/>
      <c r="C18" s="526" t="s">
        <v>400</v>
      </c>
      <c r="D18" s="527"/>
      <c r="E18" s="527"/>
      <c r="F18" s="527"/>
      <c r="G18" s="527"/>
      <c r="H18" s="527"/>
      <c r="I18" s="255"/>
      <c r="J18" s="35"/>
      <c r="K18" s="25"/>
      <c r="L18" s="79"/>
      <c r="M18" s="25"/>
      <c r="N18" s="270"/>
    </row>
    <row r="19" spans="2:14" x14ac:dyDescent="0.25">
      <c r="B19" s="177"/>
      <c r="C19" s="438" t="s">
        <v>520</v>
      </c>
      <c r="D19" s="564"/>
      <c r="E19" s="564"/>
      <c r="F19" s="564"/>
      <c r="G19" s="564"/>
      <c r="H19" s="564"/>
      <c r="I19" s="439"/>
      <c r="J19" s="35"/>
      <c r="K19" s="25"/>
      <c r="L19" s="79"/>
      <c r="M19" s="25"/>
      <c r="N19" s="270"/>
    </row>
    <row r="20" spans="2:14" x14ac:dyDescent="0.25">
      <c r="B20" s="177"/>
      <c r="C20" s="254"/>
      <c r="D20" s="255"/>
      <c r="E20" s="255"/>
      <c r="F20" s="255"/>
      <c r="G20" s="255"/>
      <c r="H20" s="255"/>
      <c r="I20" s="252"/>
      <c r="J20" s="35"/>
      <c r="K20" s="25"/>
      <c r="L20" s="79"/>
      <c r="M20" s="25"/>
      <c r="N20" s="270"/>
    </row>
    <row r="21" spans="2:14" x14ac:dyDescent="0.25">
      <c r="B21" s="177"/>
      <c r="C21" s="565" t="s">
        <v>399</v>
      </c>
      <c r="D21" s="566"/>
      <c r="E21" s="566"/>
      <c r="F21" s="566"/>
      <c r="G21" s="566"/>
      <c r="H21" s="251"/>
      <c r="I21" s="94"/>
      <c r="J21" s="37"/>
      <c r="K21" s="25"/>
      <c r="L21" s="79"/>
      <c r="M21" s="25"/>
      <c r="N21" s="270"/>
    </row>
    <row r="22" spans="2:14" ht="31.5" x14ac:dyDescent="0.25">
      <c r="B22" s="177"/>
      <c r="C22" s="256" t="s">
        <v>15</v>
      </c>
      <c r="D22" s="256" t="s">
        <v>14</v>
      </c>
      <c r="E22" s="256" t="s">
        <v>13</v>
      </c>
      <c r="F22" s="256" t="s">
        <v>12</v>
      </c>
      <c r="G22" s="469" t="s">
        <v>11</v>
      </c>
      <c r="H22" s="469"/>
      <c r="I22" s="60" t="s">
        <v>10</v>
      </c>
      <c r="J22" s="36"/>
      <c r="K22" s="25"/>
      <c r="L22" s="79"/>
      <c r="M22" s="25"/>
      <c r="N22" s="270"/>
    </row>
    <row r="23" spans="2:14" ht="49.9" customHeight="1" x14ac:dyDescent="0.25">
      <c r="B23" s="177"/>
      <c r="C23" s="212">
        <v>36</v>
      </c>
      <c r="D23" s="220" t="s">
        <v>51</v>
      </c>
      <c r="E23" s="220" t="s">
        <v>132</v>
      </c>
      <c r="F23" s="150">
        <v>45611</v>
      </c>
      <c r="G23" s="506" t="s">
        <v>391</v>
      </c>
      <c r="H23" s="506"/>
      <c r="I23" s="597" t="s">
        <v>140</v>
      </c>
      <c r="J23" s="219">
        <v>36</v>
      </c>
      <c r="K23" s="90" t="s">
        <v>55</v>
      </c>
      <c r="L23" s="81">
        <v>100</v>
      </c>
      <c r="M23" s="90"/>
      <c r="N23" s="271">
        <f>J23*L23</f>
        <v>3600</v>
      </c>
    </row>
    <row r="24" spans="2:14" ht="92.45" customHeight="1" x14ac:dyDescent="0.25">
      <c r="B24" s="177"/>
      <c r="C24" s="212">
        <v>36</v>
      </c>
      <c r="D24" s="220" t="s">
        <v>9</v>
      </c>
      <c r="E24" s="220" t="s">
        <v>132</v>
      </c>
      <c r="F24" s="150">
        <v>45611</v>
      </c>
      <c r="G24" s="506" t="s">
        <v>390</v>
      </c>
      <c r="H24" s="506"/>
      <c r="I24" s="597"/>
      <c r="J24" s="219">
        <v>36</v>
      </c>
      <c r="K24" s="90" t="s">
        <v>55</v>
      </c>
      <c r="L24" s="81">
        <v>200</v>
      </c>
      <c r="M24" s="90"/>
      <c r="N24" s="271">
        <f t="shared" ref="N24:N25" si="0">J24*L24</f>
        <v>7200</v>
      </c>
    </row>
    <row r="25" spans="2:14" ht="57.6" customHeight="1" x14ac:dyDescent="0.25">
      <c r="B25" s="177"/>
      <c r="C25" s="212">
        <v>36</v>
      </c>
      <c r="D25" s="220" t="s">
        <v>133</v>
      </c>
      <c r="E25" s="220" t="s">
        <v>132</v>
      </c>
      <c r="F25" s="150">
        <v>45611</v>
      </c>
      <c r="G25" s="506" t="s">
        <v>392</v>
      </c>
      <c r="H25" s="506"/>
      <c r="I25" s="598"/>
      <c r="J25" s="219">
        <v>36</v>
      </c>
      <c r="K25" s="90" t="s">
        <v>55</v>
      </c>
      <c r="L25" s="98">
        <v>100</v>
      </c>
      <c r="M25" s="90"/>
      <c r="N25" s="271">
        <f t="shared" si="0"/>
        <v>3600</v>
      </c>
    </row>
    <row r="26" spans="2:14" x14ac:dyDescent="0.25">
      <c r="B26" s="177"/>
      <c r="C26" s="523"/>
      <c r="D26" s="524"/>
      <c r="E26" s="524"/>
      <c r="F26" s="524"/>
      <c r="G26" s="524"/>
      <c r="H26" s="524"/>
      <c r="I26" s="525"/>
      <c r="J26" s="257"/>
      <c r="K26" s="25"/>
      <c r="L26" s="79"/>
      <c r="M26" s="25"/>
      <c r="N26" s="270"/>
    </row>
    <row r="27" spans="2:14" x14ac:dyDescent="0.25">
      <c r="B27" s="177"/>
      <c r="C27" s="561"/>
      <c r="D27" s="562"/>
      <c r="E27" s="562"/>
      <c r="F27" s="562"/>
      <c r="G27" s="562"/>
      <c r="H27" s="562"/>
      <c r="I27" s="563"/>
      <c r="J27" s="257"/>
      <c r="K27" s="25"/>
      <c r="L27" s="79"/>
      <c r="M27" s="25"/>
      <c r="N27" s="270"/>
    </row>
    <row r="28" spans="2:14" x14ac:dyDescent="0.25">
      <c r="B28" s="177"/>
      <c r="C28" s="96" t="s">
        <v>33</v>
      </c>
      <c r="D28" s="251"/>
      <c r="E28" s="251"/>
      <c r="F28" s="251"/>
      <c r="G28" s="251"/>
      <c r="H28" s="251"/>
      <c r="I28" s="116"/>
      <c r="J28" s="257"/>
      <c r="K28" s="25"/>
      <c r="L28" s="79"/>
      <c r="M28" s="25"/>
      <c r="N28" s="270"/>
    </row>
    <row r="29" spans="2:14" x14ac:dyDescent="0.25">
      <c r="B29" s="177"/>
      <c r="C29" s="95" t="s">
        <v>34</v>
      </c>
      <c r="D29" s="251"/>
      <c r="E29" s="251"/>
      <c r="F29" s="251"/>
      <c r="G29" s="251"/>
      <c r="H29" s="251"/>
      <c r="I29" s="116"/>
      <c r="J29" s="257"/>
      <c r="K29" s="25"/>
      <c r="L29" s="79"/>
      <c r="M29" s="25"/>
      <c r="N29" s="270"/>
    </row>
    <row r="30" spans="2:14" x14ac:dyDescent="0.25">
      <c r="B30" s="177"/>
      <c r="C30" s="95" t="s">
        <v>35</v>
      </c>
      <c r="D30" s="251"/>
      <c r="E30" s="251"/>
      <c r="F30" s="251"/>
      <c r="G30" s="251"/>
      <c r="H30" s="251"/>
      <c r="I30" s="116"/>
      <c r="J30" s="257"/>
      <c r="K30" s="25"/>
      <c r="L30" s="79"/>
      <c r="M30" s="25"/>
      <c r="N30" s="270"/>
    </row>
    <row r="31" spans="2:14" x14ac:dyDescent="0.25">
      <c r="B31" s="177"/>
      <c r="C31" s="95"/>
      <c r="D31" s="251" t="s">
        <v>50</v>
      </c>
      <c r="E31" s="251"/>
      <c r="F31" s="251"/>
      <c r="G31" s="251"/>
      <c r="H31" s="251"/>
      <c r="I31" s="116"/>
      <c r="J31" s="257"/>
      <c r="K31" s="25"/>
      <c r="L31" s="79"/>
      <c r="M31" s="25"/>
      <c r="N31" s="270"/>
    </row>
    <row r="32" spans="2:14" x14ac:dyDescent="0.25">
      <c r="B32" s="177"/>
      <c r="C32" s="96" t="s">
        <v>36</v>
      </c>
      <c r="D32" s="251"/>
      <c r="E32" s="251"/>
      <c r="F32" s="251"/>
      <c r="G32" s="251"/>
      <c r="H32" s="251"/>
      <c r="I32" s="116"/>
      <c r="J32" s="257"/>
      <c r="K32" s="25"/>
      <c r="L32" s="79"/>
      <c r="M32" s="25"/>
      <c r="N32" s="270"/>
    </row>
    <row r="33" spans="2:15" x14ac:dyDescent="0.25">
      <c r="B33" s="177"/>
      <c r="C33" s="95" t="s">
        <v>37</v>
      </c>
      <c r="D33" s="251"/>
      <c r="E33" s="251"/>
      <c r="F33" s="251"/>
      <c r="G33" s="251"/>
      <c r="H33" s="251"/>
      <c r="I33" s="116"/>
      <c r="J33" s="257"/>
      <c r="K33" s="25"/>
      <c r="L33" s="79"/>
      <c r="M33" s="25"/>
      <c r="N33" s="270"/>
    </row>
    <row r="34" spans="2:15" x14ac:dyDescent="0.25">
      <c r="B34" s="177"/>
      <c r="C34" s="95"/>
      <c r="D34" s="251"/>
      <c r="E34" s="251"/>
      <c r="F34" s="251"/>
      <c r="G34" s="251"/>
      <c r="H34" s="251"/>
      <c r="I34" s="116"/>
      <c r="J34" s="257"/>
      <c r="K34" s="25"/>
      <c r="L34" s="79"/>
      <c r="M34" s="25"/>
      <c r="N34" s="270"/>
    </row>
    <row r="35" spans="2:15" x14ac:dyDescent="0.25">
      <c r="B35" s="177"/>
      <c r="C35" s="250"/>
      <c r="D35" s="251"/>
      <c r="E35" s="251"/>
      <c r="F35" s="251"/>
      <c r="G35" s="251"/>
      <c r="H35" s="251"/>
      <c r="I35" s="116"/>
      <c r="J35" s="257"/>
      <c r="K35" s="25"/>
      <c r="L35" s="79"/>
      <c r="M35" s="25"/>
      <c r="N35" s="270"/>
    </row>
    <row r="36" spans="2:15" x14ac:dyDescent="0.25">
      <c r="B36" s="177"/>
      <c r="C36" s="99" t="s">
        <v>8</v>
      </c>
      <c r="D36" s="251"/>
      <c r="E36" s="251"/>
      <c r="F36" s="251"/>
      <c r="G36" s="251"/>
      <c r="H36" s="251"/>
      <c r="I36" s="94"/>
      <c r="J36" s="37"/>
      <c r="K36" s="25"/>
      <c r="L36" s="79"/>
      <c r="M36" s="25"/>
      <c r="N36" s="270"/>
    </row>
    <row r="37" spans="2:15" x14ac:dyDescent="0.25">
      <c r="B37" s="179"/>
      <c r="C37" s="22" t="s">
        <v>38</v>
      </c>
      <c r="D37" s="253"/>
      <c r="E37" s="253"/>
      <c r="F37" s="253"/>
      <c r="G37" s="253"/>
      <c r="H37" s="253"/>
      <c r="I37" s="97"/>
      <c r="J37" s="84"/>
      <c r="K37" s="22"/>
      <c r="L37" s="156"/>
      <c r="M37" s="22"/>
      <c r="N37" s="273"/>
    </row>
    <row r="38" spans="2:15" x14ac:dyDescent="0.25">
      <c r="B38" s="179"/>
      <c r="C38" s="475"/>
      <c r="D38" s="518"/>
      <c r="E38" s="518"/>
      <c r="F38" s="518"/>
      <c r="G38" s="518"/>
      <c r="H38" s="253"/>
      <c r="I38" s="97"/>
      <c r="J38" s="84"/>
      <c r="K38" s="22"/>
      <c r="L38" s="85" t="s">
        <v>6</v>
      </c>
      <c r="M38" s="86" t="s">
        <v>5</v>
      </c>
      <c r="N38" s="274">
        <f>SUM(N23:N26)</f>
        <v>14400</v>
      </c>
    </row>
    <row r="39" spans="2:15" ht="15.6" customHeight="1" x14ac:dyDescent="0.25">
      <c r="B39" s="275" t="s">
        <v>4</v>
      </c>
      <c r="C39" s="557" t="s">
        <v>519</v>
      </c>
      <c r="D39" s="558"/>
      <c r="E39" s="558"/>
      <c r="F39" s="558"/>
      <c r="G39" s="558"/>
      <c r="H39" s="558"/>
      <c r="I39" s="558"/>
      <c r="J39" s="558"/>
      <c r="K39" s="558"/>
      <c r="L39" s="558"/>
      <c r="M39" s="558"/>
      <c r="N39" s="559"/>
    </row>
    <row r="40" spans="2:15" x14ac:dyDescent="0.25">
      <c r="B40" s="209"/>
      <c r="C40" s="445"/>
      <c r="D40" s="444"/>
      <c r="E40" s="444"/>
      <c r="F40" s="444"/>
      <c r="G40" s="444"/>
      <c r="H40" s="444"/>
      <c r="I40" s="446"/>
      <c r="J40" s="441" t="s">
        <v>3</v>
      </c>
      <c r="K40" s="442"/>
      <c r="L40" s="442"/>
      <c r="M40" s="442"/>
      <c r="N40" s="550"/>
    </row>
    <row r="41" spans="2:15" x14ac:dyDescent="0.25">
      <c r="B41" s="210" t="s">
        <v>2</v>
      </c>
      <c r="C41" s="507"/>
      <c r="D41" s="508"/>
      <c r="E41" s="508"/>
      <c r="F41" s="508"/>
      <c r="G41" s="508"/>
      <c r="H41" s="508"/>
      <c r="I41" s="509"/>
      <c r="J41" s="445"/>
      <c r="K41" s="444"/>
      <c r="L41" s="444"/>
      <c r="M41" s="444"/>
      <c r="N41" s="560"/>
    </row>
    <row r="42" spans="2:15" x14ac:dyDescent="0.25">
      <c r="B42" s="210" t="s">
        <v>1</v>
      </c>
      <c r="C42" s="513" t="s">
        <v>541</v>
      </c>
      <c r="D42" s="440"/>
      <c r="E42" s="440"/>
      <c r="F42" s="440"/>
      <c r="G42" s="440"/>
      <c r="H42" s="440"/>
      <c r="I42" s="514"/>
      <c r="J42" s="441" t="s">
        <v>216</v>
      </c>
      <c r="K42" s="442"/>
      <c r="L42" s="442"/>
      <c r="M42" s="442"/>
      <c r="N42" s="550"/>
    </row>
    <row r="43" spans="2:15" ht="16.5" thickBot="1" x14ac:dyDescent="0.3">
      <c r="B43" s="211" t="s">
        <v>0</v>
      </c>
      <c r="C43" s="551" t="s">
        <v>542</v>
      </c>
      <c r="D43" s="552"/>
      <c r="E43" s="552"/>
      <c r="F43" s="552"/>
      <c r="G43" s="552"/>
      <c r="H43" s="552"/>
      <c r="I43" s="553"/>
      <c r="J43" s="554" t="s">
        <v>522</v>
      </c>
      <c r="K43" s="555"/>
      <c r="L43" s="555"/>
      <c r="M43" s="555"/>
      <c r="N43" s="556"/>
    </row>
    <row r="44" spans="2:15"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32">
    <mergeCell ref="B7:N7"/>
    <mergeCell ref="M13:N13"/>
    <mergeCell ref="C18:H18"/>
    <mergeCell ref="B9:N9"/>
    <mergeCell ref="C17:G17"/>
    <mergeCell ref="B1:N1"/>
    <mergeCell ref="B2:N2"/>
    <mergeCell ref="B3:N3"/>
    <mergeCell ref="B4:N4"/>
    <mergeCell ref="C26:I26"/>
    <mergeCell ref="C19:I19"/>
    <mergeCell ref="C21:G21"/>
    <mergeCell ref="G22:H22"/>
    <mergeCell ref="G23:H23"/>
    <mergeCell ref="I23:I25"/>
    <mergeCell ref="G24:H24"/>
    <mergeCell ref="G25:H25"/>
    <mergeCell ref="C13:I13"/>
    <mergeCell ref="C15:I16"/>
    <mergeCell ref="B5:N5"/>
    <mergeCell ref="B6:N6"/>
    <mergeCell ref="C43:I43"/>
    <mergeCell ref="C27:I27"/>
    <mergeCell ref="C38:G38"/>
    <mergeCell ref="C39:N39"/>
    <mergeCell ref="C42:I42"/>
    <mergeCell ref="C40:I40"/>
    <mergeCell ref="C41:I41"/>
    <mergeCell ref="J43:N43"/>
    <mergeCell ref="J42:N42"/>
    <mergeCell ref="J41:N41"/>
    <mergeCell ref="J40:N40"/>
  </mergeCells>
  <printOptions horizontalCentered="1"/>
  <pageMargins left="0.25" right="0.25" top="0.75" bottom="0.75" header="0.3" footer="0.3"/>
  <pageSetup paperSize="9" scale="53" fitToHeight="2"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8E422-4033-48A0-A185-525628687404}">
  <sheetPr>
    <tabColor rgb="FFFF0000"/>
    <pageSetUpPr fitToPage="1"/>
  </sheetPr>
  <dimension ref="B1:L35"/>
  <sheetViews>
    <sheetView view="pageBreakPreview" topLeftCell="A7" zoomScaleNormal="100" zoomScaleSheetLayoutView="100" workbookViewId="0">
      <selection activeCell="C8" sqref="C8:G9"/>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371</v>
      </c>
      <c r="J4" s="39"/>
      <c r="K4" s="27"/>
      <c r="L4" s="292" t="s">
        <v>372</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00"/>
      <c r="C7" s="428" t="s">
        <v>19</v>
      </c>
      <c r="D7" s="462"/>
      <c r="E7" s="462"/>
      <c r="F7" s="462"/>
      <c r="G7" s="429"/>
      <c r="H7" s="143" t="s">
        <v>21</v>
      </c>
      <c r="I7" s="33" t="s">
        <v>20</v>
      </c>
      <c r="J7" s="47" t="s">
        <v>18</v>
      </c>
      <c r="K7" s="430" t="s">
        <v>17</v>
      </c>
      <c r="L7" s="431"/>
    </row>
    <row r="8" spans="2:12" ht="20.25" customHeight="1" x14ac:dyDescent="0.25">
      <c r="B8" s="100"/>
      <c r="C8" s="539" t="s">
        <v>373</v>
      </c>
      <c r="D8" s="540"/>
      <c r="E8" s="540"/>
      <c r="F8" s="540"/>
      <c r="G8" s="541"/>
      <c r="H8" s="103"/>
      <c r="I8" s="11"/>
      <c r="J8" s="52"/>
      <c r="L8" s="53"/>
    </row>
    <row r="9" spans="2:12" ht="16.5" customHeight="1" x14ac:dyDescent="0.25">
      <c r="B9" s="100"/>
      <c r="C9" s="632"/>
      <c r="D9" s="633"/>
      <c r="E9" s="633"/>
      <c r="F9" s="633"/>
      <c r="G9" s="634"/>
      <c r="H9" s="107"/>
      <c r="J9" s="169"/>
      <c r="K9" s="59"/>
      <c r="L9" s="158"/>
    </row>
    <row r="10" spans="2:12" ht="18.75" customHeight="1" x14ac:dyDescent="0.25">
      <c r="B10" s="100"/>
      <c r="C10" s="60" t="s">
        <v>21</v>
      </c>
      <c r="D10" s="469" t="s">
        <v>41</v>
      </c>
      <c r="E10" s="469"/>
      <c r="F10" s="469" t="s">
        <v>42</v>
      </c>
      <c r="G10" s="469"/>
      <c r="H10" s="231"/>
      <c r="I10" s="232"/>
      <c r="J10" s="233"/>
      <c r="K10" s="229"/>
      <c r="L10" s="234"/>
    </row>
    <row r="11" spans="2:12" ht="30.75" customHeight="1" x14ac:dyDescent="0.25">
      <c r="B11" s="100"/>
      <c r="C11" s="60">
        <v>40</v>
      </c>
      <c r="D11" s="635" t="s">
        <v>376</v>
      </c>
      <c r="E11" s="636"/>
      <c r="F11" s="667" t="s">
        <v>374</v>
      </c>
      <c r="G11" s="638"/>
      <c r="H11" s="224">
        <v>40</v>
      </c>
      <c r="I11" s="12" t="s">
        <v>53</v>
      </c>
      <c r="J11" s="236">
        <v>300</v>
      </c>
      <c r="K11" s="59"/>
      <c r="L11" s="158">
        <f>H11*J11</f>
        <v>12000</v>
      </c>
    </row>
    <row r="12" spans="2:12" ht="30.75" customHeight="1" x14ac:dyDescent="0.25">
      <c r="B12" s="100"/>
      <c r="C12" s="60">
        <v>40</v>
      </c>
      <c r="D12" s="635" t="s">
        <v>377</v>
      </c>
      <c r="E12" s="636"/>
      <c r="F12" s="667" t="s">
        <v>375</v>
      </c>
      <c r="G12" s="638"/>
      <c r="H12" s="224">
        <v>40</v>
      </c>
      <c r="I12" s="12" t="s">
        <v>53</v>
      </c>
      <c r="J12" s="236">
        <v>100</v>
      </c>
      <c r="K12" s="59"/>
      <c r="L12" s="158">
        <f>H12*J12</f>
        <v>4000</v>
      </c>
    </row>
    <row r="13" spans="2:12" ht="30.75" customHeight="1" x14ac:dyDescent="0.25">
      <c r="B13" s="100"/>
      <c r="C13" s="64"/>
      <c r="D13" s="235"/>
      <c r="E13" s="235"/>
      <c r="F13" s="323"/>
      <c r="G13" s="107"/>
      <c r="H13" s="36"/>
      <c r="I13" s="11"/>
      <c r="J13" s="173"/>
      <c r="K13" s="59"/>
      <c r="L13" s="158"/>
    </row>
    <row r="14" spans="2:12" ht="16.5" customHeight="1" x14ac:dyDescent="0.25">
      <c r="B14" s="100"/>
      <c r="C14" s="628" t="s">
        <v>113</v>
      </c>
      <c r="D14" s="629"/>
      <c r="E14" s="235"/>
      <c r="F14" s="223"/>
      <c r="G14" s="107"/>
      <c r="H14" s="36"/>
      <c r="I14" s="11"/>
      <c r="J14" s="173"/>
      <c r="K14" s="59"/>
      <c r="L14" s="226"/>
    </row>
    <row r="15" spans="2:12" ht="20.25" customHeight="1" x14ac:dyDescent="0.25">
      <c r="B15" s="100"/>
      <c r="C15" s="639" t="s">
        <v>379</v>
      </c>
      <c r="D15" s="640"/>
      <c r="E15" s="640"/>
      <c r="F15" s="640"/>
      <c r="G15" s="668"/>
      <c r="H15" s="61"/>
      <c r="I15" s="11"/>
      <c r="J15" s="173"/>
      <c r="K15" s="59"/>
      <c r="L15" s="158"/>
    </row>
    <row r="16" spans="2:12" ht="20.25" customHeight="1" x14ac:dyDescent="0.25">
      <c r="B16" s="100"/>
      <c r="C16" s="639" t="s">
        <v>378</v>
      </c>
      <c r="D16" s="640"/>
      <c r="E16" s="640"/>
      <c r="F16" s="640"/>
      <c r="G16" s="668"/>
      <c r="H16" s="61"/>
      <c r="I16" s="11"/>
      <c r="J16" s="173"/>
      <c r="K16" s="59"/>
      <c r="L16" s="158"/>
    </row>
    <row r="17" spans="2:12" ht="20.25" customHeight="1" x14ac:dyDescent="0.25">
      <c r="B17" s="100"/>
      <c r="C17" s="239"/>
      <c r="D17" s="240"/>
      <c r="E17" s="240"/>
      <c r="F17" s="223"/>
      <c r="G17" s="153"/>
      <c r="H17" s="61"/>
      <c r="I17" s="11"/>
      <c r="J17" s="173"/>
      <c r="K17" s="59"/>
      <c r="L17" s="158"/>
    </row>
    <row r="18" spans="2:12" x14ac:dyDescent="0.25">
      <c r="B18" s="100"/>
      <c r="C18" s="96" t="s">
        <v>33</v>
      </c>
      <c r="D18" s="107"/>
      <c r="E18" s="107"/>
      <c r="F18" s="108"/>
      <c r="G18" s="108"/>
      <c r="H18" s="61"/>
      <c r="I18" s="62"/>
      <c r="J18" s="237"/>
      <c r="K18" s="59"/>
      <c r="L18" s="53"/>
    </row>
    <row r="19" spans="2:12" x14ac:dyDescent="0.25">
      <c r="B19" s="100"/>
      <c r="C19" s="95" t="s">
        <v>34</v>
      </c>
      <c r="D19" s="107"/>
      <c r="E19" s="107"/>
      <c r="F19" s="108"/>
      <c r="G19" s="108"/>
      <c r="H19" s="61"/>
      <c r="I19" s="62"/>
      <c r="J19" s="237"/>
      <c r="K19" s="59"/>
      <c r="L19" s="53"/>
    </row>
    <row r="20" spans="2:12" x14ac:dyDescent="0.25">
      <c r="B20" s="100"/>
      <c r="C20" s="95" t="s">
        <v>35</v>
      </c>
      <c r="D20" s="107"/>
      <c r="E20" s="107"/>
      <c r="F20" s="108"/>
      <c r="G20" s="108"/>
      <c r="H20" s="61"/>
      <c r="I20" s="62"/>
      <c r="J20" s="237"/>
      <c r="K20" s="59"/>
      <c r="L20" s="53"/>
    </row>
    <row r="21" spans="2:12" x14ac:dyDescent="0.25">
      <c r="B21" s="100"/>
      <c r="C21" s="95"/>
      <c r="D21" s="107"/>
      <c r="E21" s="107"/>
      <c r="F21" s="108"/>
      <c r="G21" s="108"/>
      <c r="H21" s="61"/>
      <c r="I21" s="62"/>
      <c r="J21" s="237"/>
      <c r="K21" s="59"/>
      <c r="L21" s="53"/>
    </row>
    <row r="22" spans="2:12" x14ac:dyDescent="0.25">
      <c r="B22" s="100"/>
      <c r="C22" s="96" t="s">
        <v>36</v>
      </c>
      <c r="D22" s="107"/>
      <c r="E22" s="107"/>
      <c r="F22" s="108"/>
      <c r="G22" s="108"/>
      <c r="H22" s="61"/>
      <c r="I22" s="62"/>
      <c r="J22" s="237"/>
      <c r="K22" s="59"/>
      <c r="L22" s="53"/>
    </row>
    <row r="23" spans="2:12" x14ac:dyDescent="0.25">
      <c r="B23" s="100"/>
      <c r="C23" s="95" t="s">
        <v>37</v>
      </c>
      <c r="D23" s="109"/>
      <c r="E23" s="109"/>
      <c r="F23" s="109"/>
      <c r="G23" s="109"/>
      <c r="H23" s="65"/>
      <c r="I23" s="11"/>
      <c r="J23" s="173"/>
      <c r="L23" s="53"/>
    </row>
    <row r="24" spans="2:12" x14ac:dyDescent="0.25">
      <c r="B24" s="100"/>
      <c r="C24" s="95" t="s">
        <v>84</v>
      </c>
      <c r="D24" s="109"/>
      <c r="E24" s="109"/>
      <c r="F24" s="109"/>
      <c r="G24" s="109"/>
      <c r="H24" s="65"/>
      <c r="I24" s="11"/>
      <c r="J24" s="173"/>
      <c r="L24" s="53"/>
    </row>
    <row r="25" spans="2:12" x14ac:dyDescent="0.25">
      <c r="B25" s="100"/>
      <c r="C25" s="95"/>
      <c r="D25" s="109"/>
      <c r="E25" s="109"/>
      <c r="F25" s="109"/>
      <c r="G25" s="109"/>
      <c r="H25" s="65"/>
      <c r="I25" s="11"/>
      <c r="J25" s="173"/>
      <c r="L25" s="53"/>
    </row>
    <row r="26" spans="2:12" x14ac:dyDescent="0.25">
      <c r="B26" s="100"/>
      <c r="C26" s="56" t="s">
        <v>8</v>
      </c>
      <c r="D26" s="104"/>
      <c r="E26" s="104"/>
      <c r="F26" s="104"/>
      <c r="G26" s="104"/>
      <c r="H26" s="57"/>
      <c r="I26" s="11"/>
      <c r="J26" s="174"/>
      <c r="K26" s="24"/>
      <c r="L26" s="53"/>
    </row>
    <row r="27" spans="2:12" x14ac:dyDescent="0.25">
      <c r="B27" s="100"/>
      <c r="C27" s="54" t="s">
        <v>7</v>
      </c>
      <c r="D27" s="102"/>
      <c r="E27" s="102"/>
      <c r="F27" s="102"/>
      <c r="G27" s="102"/>
      <c r="H27" s="55"/>
      <c r="I27" s="11"/>
      <c r="J27" s="174"/>
      <c r="K27" s="24"/>
      <c r="L27" s="53"/>
    </row>
    <row r="28" spans="2:12" x14ac:dyDescent="0.25">
      <c r="B28" s="101"/>
      <c r="C28" s="66"/>
      <c r="D28" s="67"/>
      <c r="E28" s="67"/>
      <c r="F28" s="67"/>
      <c r="G28" s="67"/>
      <c r="H28" s="68"/>
      <c r="I28" s="10"/>
      <c r="J28" s="238" t="s">
        <v>6</v>
      </c>
      <c r="K28" s="72" t="s">
        <v>5</v>
      </c>
      <c r="L28" s="69">
        <f>L11+L12</f>
        <v>16000</v>
      </c>
    </row>
    <row r="29" spans="2:12" ht="34.5" customHeight="1" x14ac:dyDescent="0.25">
      <c r="B29" s="88" t="s">
        <v>4</v>
      </c>
      <c r="C29" s="534" t="s">
        <v>373</v>
      </c>
      <c r="D29" s="535"/>
      <c r="E29" s="535"/>
      <c r="F29" s="535"/>
      <c r="G29" s="535"/>
      <c r="H29" s="535"/>
      <c r="I29" s="535"/>
      <c r="J29" s="535"/>
      <c r="K29" s="535"/>
      <c r="L29" s="536"/>
    </row>
    <row r="30" spans="2:12" x14ac:dyDescent="0.25">
      <c r="B30" s="136"/>
      <c r="C30" s="137"/>
      <c r="D30" s="138"/>
      <c r="E30" s="138"/>
      <c r="F30" s="138"/>
      <c r="G30" s="138"/>
      <c r="H30" s="138"/>
      <c r="I30" s="138"/>
      <c r="J30" s="138"/>
      <c r="K30" s="138"/>
      <c r="L30" s="141"/>
    </row>
    <row r="31" spans="2:12" x14ac:dyDescent="0.25">
      <c r="B31" s="73"/>
      <c r="C31" s="445"/>
      <c r="D31" s="444"/>
      <c r="E31" s="444"/>
      <c r="F31" s="444"/>
      <c r="G31" s="444"/>
      <c r="H31" s="441" t="s">
        <v>3</v>
      </c>
      <c r="I31" s="442"/>
      <c r="J31" s="442"/>
      <c r="K31" s="442"/>
      <c r="L31" s="443"/>
    </row>
    <row r="32" spans="2:12" ht="12.75" customHeight="1" x14ac:dyDescent="0.25">
      <c r="B32" s="25"/>
      <c r="C32" s="450"/>
      <c r="D32" s="480"/>
      <c r="E32" s="480"/>
      <c r="F32" s="480"/>
      <c r="G32" s="451"/>
      <c r="H32" s="454"/>
      <c r="I32" s="455"/>
      <c r="J32" s="455"/>
      <c r="K32" s="455"/>
      <c r="L32" s="456"/>
    </row>
    <row r="33" spans="2:12" ht="9.75" customHeight="1" x14ac:dyDescent="0.25">
      <c r="B33" s="78" t="s">
        <v>2</v>
      </c>
      <c r="C33" s="452"/>
      <c r="D33" s="481"/>
      <c r="E33" s="481"/>
      <c r="F33" s="481"/>
      <c r="G33" s="453"/>
      <c r="H33" s="457"/>
      <c r="I33" s="458"/>
      <c r="J33" s="458"/>
      <c r="K33" s="458"/>
      <c r="L33" s="459"/>
    </row>
    <row r="34" spans="2:12" x14ac:dyDescent="0.25">
      <c r="B34" s="78" t="s">
        <v>1</v>
      </c>
      <c r="C34" s="440" t="s">
        <v>216</v>
      </c>
      <c r="D34" s="440"/>
      <c r="E34" s="440"/>
      <c r="F34" s="440"/>
      <c r="G34" s="440"/>
      <c r="H34" s="441" t="s">
        <v>380</v>
      </c>
      <c r="I34" s="442"/>
      <c r="J34" s="442"/>
      <c r="K34" s="442"/>
      <c r="L34" s="443"/>
    </row>
    <row r="35" spans="2:12" x14ac:dyDescent="0.25">
      <c r="B35" s="83" t="s">
        <v>0</v>
      </c>
      <c r="C35" s="444" t="s">
        <v>381</v>
      </c>
      <c r="D35" s="444"/>
      <c r="E35" s="444"/>
      <c r="F35" s="444"/>
      <c r="G35" s="444"/>
      <c r="H35" s="445" t="s">
        <v>32</v>
      </c>
      <c r="I35" s="444"/>
      <c r="J35" s="444"/>
      <c r="K35" s="444"/>
      <c r="L35" s="446"/>
    </row>
  </sheetData>
  <mergeCells count="25">
    <mergeCell ref="B1:L1"/>
    <mergeCell ref="B2:L2"/>
    <mergeCell ref="B3:L3"/>
    <mergeCell ref="C5:H5"/>
    <mergeCell ref="C7:G7"/>
    <mergeCell ref="K7:L7"/>
    <mergeCell ref="C8:G9"/>
    <mergeCell ref="D10:E10"/>
    <mergeCell ref="F10:G10"/>
    <mergeCell ref="D11:E11"/>
    <mergeCell ref="F11:G11"/>
    <mergeCell ref="C34:G34"/>
    <mergeCell ref="H34:L34"/>
    <mergeCell ref="C35:G35"/>
    <mergeCell ref="H35:L35"/>
    <mergeCell ref="D12:E12"/>
    <mergeCell ref="F12:G12"/>
    <mergeCell ref="C15:G15"/>
    <mergeCell ref="C16:G16"/>
    <mergeCell ref="C29:L29"/>
    <mergeCell ref="C31:G31"/>
    <mergeCell ref="H31:L31"/>
    <mergeCell ref="C32:G33"/>
    <mergeCell ref="H32:L33"/>
    <mergeCell ref="C14:D14"/>
  </mergeCells>
  <phoneticPr fontId="43" type="noConversion"/>
  <pageMargins left="0.23622047244094491" right="0.23622047244094491" top="1.1417322834645669" bottom="0.74803149606299213" header="0.31496062992125984" footer="0.31496062992125984"/>
  <pageSetup paperSize="9" scale="72"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4AF0-36DC-4B1D-9932-D883EC73F5B6}">
  <sheetPr>
    <tabColor rgb="FFFF0000"/>
  </sheetPr>
  <dimension ref="A1:B23"/>
  <sheetViews>
    <sheetView workbookViewId="0">
      <selection activeCell="L21" sqref="L21"/>
    </sheetView>
  </sheetViews>
  <sheetFormatPr defaultRowHeight="15" x14ac:dyDescent="0.25"/>
  <sheetData>
    <row r="1" spans="1:2" x14ac:dyDescent="0.25">
      <c r="A1" t="s">
        <v>348</v>
      </c>
      <c r="B1">
        <v>3</v>
      </c>
    </row>
    <row r="2" spans="1:2" x14ac:dyDescent="0.25">
      <c r="A2" t="s">
        <v>346</v>
      </c>
      <c r="B2">
        <v>3</v>
      </c>
    </row>
    <row r="3" spans="1:2" x14ac:dyDescent="0.25">
      <c r="A3" t="s">
        <v>359</v>
      </c>
      <c r="B3">
        <v>3</v>
      </c>
    </row>
    <row r="4" spans="1:2" x14ac:dyDescent="0.25">
      <c r="A4" t="s">
        <v>358</v>
      </c>
      <c r="B4">
        <v>3</v>
      </c>
    </row>
    <row r="5" spans="1:2" x14ac:dyDescent="0.25">
      <c r="A5" t="s">
        <v>341</v>
      </c>
      <c r="B5">
        <v>1</v>
      </c>
    </row>
    <row r="6" spans="1:2" x14ac:dyDescent="0.25">
      <c r="A6" t="s">
        <v>342</v>
      </c>
      <c r="B6">
        <v>1</v>
      </c>
    </row>
    <row r="7" spans="1:2" x14ac:dyDescent="0.25">
      <c r="A7" t="s">
        <v>343</v>
      </c>
      <c r="B7">
        <v>1</v>
      </c>
    </row>
    <row r="8" spans="1:2" x14ac:dyDescent="0.25">
      <c r="A8" t="s">
        <v>344</v>
      </c>
      <c r="B8">
        <v>1</v>
      </c>
    </row>
    <row r="9" spans="1:2" x14ac:dyDescent="0.25">
      <c r="A9" t="s">
        <v>345</v>
      </c>
      <c r="B9">
        <v>1</v>
      </c>
    </row>
    <row r="10" spans="1:2" x14ac:dyDescent="0.25">
      <c r="A10" t="s">
        <v>347</v>
      </c>
      <c r="B10">
        <v>1</v>
      </c>
    </row>
    <row r="11" spans="1:2" x14ac:dyDescent="0.25">
      <c r="A11" t="s">
        <v>349</v>
      </c>
      <c r="B11">
        <v>1</v>
      </c>
    </row>
    <row r="12" spans="1:2" x14ac:dyDescent="0.25">
      <c r="A12" t="s">
        <v>350</v>
      </c>
      <c r="B12">
        <v>1</v>
      </c>
    </row>
    <row r="13" spans="1:2" x14ac:dyDescent="0.25">
      <c r="A13" t="s">
        <v>351</v>
      </c>
      <c r="B13">
        <v>1</v>
      </c>
    </row>
    <row r="14" spans="1:2" x14ac:dyDescent="0.25">
      <c r="A14" t="s">
        <v>352</v>
      </c>
      <c r="B14">
        <v>1</v>
      </c>
    </row>
    <row r="15" spans="1:2" x14ac:dyDescent="0.25">
      <c r="A15" t="s">
        <v>353</v>
      </c>
      <c r="B15">
        <v>1</v>
      </c>
    </row>
    <row r="16" spans="1:2" x14ac:dyDescent="0.25">
      <c r="A16" t="s">
        <v>354</v>
      </c>
      <c r="B16">
        <v>1</v>
      </c>
    </row>
    <row r="17" spans="1:2" x14ac:dyDescent="0.25">
      <c r="A17" t="s">
        <v>355</v>
      </c>
      <c r="B17">
        <v>1</v>
      </c>
    </row>
    <row r="18" spans="1:2" x14ac:dyDescent="0.25">
      <c r="A18" t="s">
        <v>356</v>
      </c>
      <c r="B18">
        <v>1</v>
      </c>
    </row>
    <row r="19" spans="1:2" x14ac:dyDescent="0.25">
      <c r="A19" t="s">
        <v>357</v>
      </c>
      <c r="B19">
        <v>1</v>
      </c>
    </row>
    <row r="20" spans="1:2" x14ac:dyDescent="0.25">
      <c r="A20" t="s">
        <v>362</v>
      </c>
      <c r="B20">
        <v>5</v>
      </c>
    </row>
    <row r="21" spans="1:2" x14ac:dyDescent="0.25">
      <c r="A21" t="s">
        <v>360</v>
      </c>
      <c r="B21">
        <v>3</v>
      </c>
    </row>
    <row r="22" spans="1:2" x14ac:dyDescent="0.25">
      <c r="A22" t="s">
        <v>361</v>
      </c>
      <c r="B22">
        <v>2</v>
      </c>
    </row>
    <row r="23" spans="1:2" x14ac:dyDescent="0.25">
      <c r="A23" s="313" t="s">
        <v>363</v>
      </c>
      <c r="B23" s="313">
        <v>37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9865-1ED8-4C5C-804B-B6680797C2CE}">
  <sheetPr>
    <tabColor rgb="FFFF0000"/>
    <pageSetUpPr fitToPage="1"/>
  </sheetPr>
  <dimension ref="B1:R45"/>
  <sheetViews>
    <sheetView view="pageBreakPreview" zoomScale="70" zoomScaleNormal="100" zoomScaleSheetLayoutView="70" workbookViewId="0">
      <selection activeCell="J41" sqref="J41:N4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x14ac:dyDescent="0.25">
      <c r="B3" s="209"/>
      <c r="C3" s="74"/>
      <c r="D3" s="74"/>
      <c r="E3" s="74"/>
      <c r="F3" s="74"/>
      <c r="G3" s="74"/>
      <c r="H3" s="74"/>
      <c r="I3" s="75"/>
      <c r="J3" s="75"/>
      <c r="K3" s="29" t="s">
        <v>325</v>
      </c>
      <c r="L3" s="28"/>
      <c r="M3" s="29"/>
      <c r="N3" s="264" t="s">
        <v>326</v>
      </c>
      <c r="O3" s="32"/>
      <c r="P3" s="32"/>
      <c r="Q3" s="32"/>
      <c r="R3" s="32"/>
    </row>
    <row r="4" spans="2:18" ht="72" customHeight="1" x14ac:dyDescent="0.25">
      <c r="B4" s="177" t="s">
        <v>26</v>
      </c>
      <c r="C4" s="32" t="s">
        <v>30</v>
      </c>
      <c r="D4" s="32"/>
      <c r="E4" s="32"/>
      <c r="F4" s="32"/>
      <c r="G4" s="32"/>
      <c r="H4" s="32"/>
      <c r="I4" s="32"/>
      <c r="J4" s="14"/>
      <c r="K4" s="24" t="s">
        <v>25</v>
      </c>
      <c r="L4" s="76"/>
      <c r="M4" s="24"/>
      <c r="N4" s="265" t="s">
        <v>22</v>
      </c>
      <c r="O4" s="32"/>
      <c r="P4" s="32"/>
      <c r="Q4" s="32"/>
      <c r="R4" s="32"/>
    </row>
    <row r="5" spans="2:18" x14ac:dyDescent="0.25">
      <c r="B5" s="179" t="s">
        <v>24</v>
      </c>
      <c r="C5" s="72" t="s">
        <v>47</v>
      </c>
      <c r="D5" s="71"/>
      <c r="E5" s="71"/>
      <c r="F5" s="71"/>
      <c r="G5" s="71"/>
      <c r="H5" s="71"/>
      <c r="I5" s="72"/>
      <c r="J5" s="21"/>
      <c r="K5" s="20" t="s">
        <v>23</v>
      </c>
      <c r="L5" s="77"/>
      <c r="M5" s="20"/>
      <c r="N5" s="266" t="s">
        <v>22</v>
      </c>
    </row>
    <row r="6" spans="2:18" ht="30.75" x14ac:dyDescent="0.25">
      <c r="B6" s="267" t="s">
        <v>29</v>
      </c>
      <c r="C6" s="500" t="s">
        <v>19</v>
      </c>
      <c r="D6" s="501"/>
      <c r="E6" s="501"/>
      <c r="F6" s="501"/>
      <c r="G6" s="501"/>
      <c r="H6" s="501"/>
      <c r="I6" s="502"/>
      <c r="J6" s="249" t="s">
        <v>21</v>
      </c>
      <c r="K6" s="249" t="s">
        <v>20</v>
      </c>
      <c r="L6" s="18" t="s">
        <v>18</v>
      </c>
      <c r="M6" s="643" t="s">
        <v>17</v>
      </c>
      <c r="N6" s="673"/>
    </row>
    <row r="7" spans="2:18" x14ac:dyDescent="0.25">
      <c r="B7" s="268"/>
      <c r="C7" s="91"/>
      <c r="D7" s="92"/>
      <c r="E7" s="92"/>
      <c r="F7" s="92"/>
      <c r="G7" s="92"/>
      <c r="H7" s="92"/>
      <c r="I7" s="93"/>
      <c r="J7" s="33"/>
      <c r="K7" s="16"/>
      <c r="L7" s="17"/>
      <c r="M7" s="16"/>
      <c r="N7" s="269"/>
    </row>
    <row r="8" spans="2:18" ht="39" customHeight="1" x14ac:dyDescent="0.25">
      <c r="B8" s="177"/>
      <c r="C8" s="432" t="s">
        <v>339</v>
      </c>
      <c r="D8" s="482"/>
      <c r="E8" s="482"/>
      <c r="F8" s="482"/>
      <c r="G8" s="482"/>
      <c r="H8" s="482"/>
      <c r="I8" s="433"/>
      <c r="J8" s="34"/>
      <c r="K8" s="25"/>
      <c r="L8" s="79"/>
      <c r="M8" s="25"/>
      <c r="N8" s="270"/>
    </row>
    <row r="9" spans="2:18" x14ac:dyDescent="0.25">
      <c r="B9" s="177"/>
      <c r="C9" s="432"/>
      <c r="D9" s="482"/>
      <c r="E9" s="482"/>
      <c r="F9" s="482"/>
      <c r="G9" s="482"/>
      <c r="H9" s="482"/>
      <c r="I9" s="433"/>
      <c r="J9" s="34"/>
      <c r="K9" s="25"/>
      <c r="L9" s="79"/>
      <c r="M9" s="25"/>
      <c r="N9" s="270"/>
    </row>
    <row r="10" spans="2:18" ht="15.75" customHeight="1" x14ac:dyDescent="0.25">
      <c r="B10" s="177"/>
      <c r="C10" s="526"/>
      <c r="D10" s="527"/>
      <c r="E10" s="527"/>
      <c r="F10" s="527"/>
      <c r="G10" s="527"/>
      <c r="H10" s="255"/>
      <c r="I10" s="252"/>
      <c r="J10" s="35"/>
      <c r="K10" s="25"/>
      <c r="L10" s="79"/>
      <c r="M10" s="25"/>
      <c r="N10" s="270"/>
    </row>
    <row r="11" spans="2:18" ht="27.75" customHeight="1" x14ac:dyDescent="0.25">
      <c r="B11" s="177"/>
      <c r="C11" s="561" t="s">
        <v>130</v>
      </c>
      <c r="D11" s="527"/>
      <c r="E11" s="527"/>
      <c r="F11" s="527"/>
      <c r="G11" s="527"/>
      <c r="H11" s="255"/>
      <c r="I11" s="255"/>
      <c r="J11" s="35"/>
      <c r="K11" s="25"/>
      <c r="L11" s="79"/>
      <c r="M11" s="25"/>
      <c r="N11" s="270"/>
    </row>
    <row r="12" spans="2:18" x14ac:dyDescent="0.25">
      <c r="B12" s="177"/>
      <c r="C12" s="526" t="s">
        <v>329</v>
      </c>
      <c r="D12" s="527"/>
      <c r="E12" s="527"/>
      <c r="F12" s="527"/>
      <c r="G12" s="527"/>
      <c r="H12" s="255"/>
      <c r="I12" s="255"/>
      <c r="J12" s="35"/>
      <c r="K12" s="25"/>
      <c r="L12" s="79"/>
      <c r="M12" s="25"/>
      <c r="N12" s="270"/>
    </row>
    <row r="13" spans="2:18" ht="15.75" customHeight="1" x14ac:dyDescent="0.25">
      <c r="B13" s="177"/>
      <c r="C13" s="438" t="s">
        <v>338</v>
      </c>
      <c r="D13" s="564"/>
      <c r="E13" s="564"/>
      <c r="F13" s="564"/>
      <c r="G13" s="564"/>
      <c r="H13" s="564"/>
      <c r="I13" s="439"/>
      <c r="J13" s="35"/>
      <c r="K13" s="25"/>
      <c r="L13" s="79"/>
      <c r="M13" s="25"/>
      <c r="N13" s="270"/>
    </row>
    <row r="14" spans="2:18" ht="15.75" customHeight="1" x14ac:dyDescent="0.25">
      <c r="B14" s="177"/>
      <c r="C14" s="254"/>
      <c r="D14" s="255"/>
      <c r="E14" s="255"/>
      <c r="F14" s="255"/>
      <c r="G14" s="255"/>
      <c r="H14" s="255"/>
      <c r="I14" s="252"/>
      <c r="J14" s="35"/>
      <c r="K14" s="25"/>
      <c r="L14" s="79"/>
      <c r="M14" s="25"/>
      <c r="N14" s="270"/>
    </row>
    <row r="15" spans="2:18" ht="15.75" customHeight="1" x14ac:dyDescent="0.25">
      <c r="B15" s="177"/>
      <c r="C15" s="565" t="s">
        <v>16</v>
      </c>
      <c r="D15" s="566"/>
      <c r="E15" s="566"/>
      <c r="F15" s="566"/>
      <c r="G15" s="566"/>
      <c r="H15" s="251"/>
      <c r="I15" s="94"/>
      <c r="J15" s="37"/>
      <c r="K15" s="25"/>
      <c r="L15" s="79"/>
      <c r="M15" s="25"/>
      <c r="N15" s="270"/>
    </row>
    <row r="16" spans="2:18" ht="31.5" x14ac:dyDescent="0.25">
      <c r="B16" s="177"/>
      <c r="C16" s="256" t="s">
        <v>15</v>
      </c>
      <c r="D16" s="256" t="s">
        <v>14</v>
      </c>
      <c r="E16" s="256" t="s">
        <v>13</v>
      </c>
      <c r="F16" s="256" t="s">
        <v>12</v>
      </c>
      <c r="G16" s="469" t="s">
        <v>11</v>
      </c>
      <c r="H16" s="469"/>
      <c r="I16" s="60" t="s">
        <v>10</v>
      </c>
      <c r="J16" s="36"/>
      <c r="K16" s="25"/>
      <c r="L16" s="79"/>
      <c r="M16" s="25"/>
      <c r="N16" s="270"/>
    </row>
    <row r="17" spans="2:14" ht="55.9" customHeight="1" x14ac:dyDescent="0.25">
      <c r="B17" s="177"/>
      <c r="C17" s="212">
        <v>36</v>
      </c>
      <c r="D17" s="220" t="s">
        <v>51</v>
      </c>
      <c r="E17" s="220" t="s">
        <v>132</v>
      </c>
      <c r="F17" s="150" t="s">
        <v>337</v>
      </c>
      <c r="G17" s="506" t="s">
        <v>80</v>
      </c>
      <c r="H17" s="506"/>
      <c r="I17" s="597" t="s">
        <v>140</v>
      </c>
      <c r="J17" s="219">
        <v>36</v>
      </c>
      <c r="K17" s="90" t="s">
        <v>55</v>
      </c>
      <c r="L17" s="81">
        <v>100</v>
      </c>
      <c r="M17" s="90"/>
      <c r="N17" s="271">
        <f>J17*L17</f>
        <v>3600</v>
      </c>
    </row>
    <row r="18" spans="2:14" ht="67.900000000000006" customHeight="1" x14ac:dyDescent="0.25">
      <c r="B18" s="177"/>
      <c r="C18" s="212">
        <v>36</v>
      </c>
      <c r="D18" s="220" t="s">
        <v>9</v>
      </c>
      <c r="E18" s="220" t="s">
        <v>132</v>
      </c>
      <c r="F18" s="150" t="s">
        <v>337</v>
      </c>
      <c r="G18" s="506" t="s">
        <v>79</v>
      </c>
      <c r="H18" s="506"/>
      <c r="I18" s="597"/>
      <c r="J18" s="219">
        <v>36</v>
      </c>
      <c r="K18" s="90" t="s">
        <v>55</v>
      </c>
      <c r="L18" s="81">
        <v>200</v>
      </c>
      <c r="M18" s="90"/>
      <c r="N18" s="271">
        <f t="shared" ref="N18:N19" si="0">J18*L18</f>
        <v>7200</v>
      </c>
    </row>
    <row r="19" spans="2:14" ht="53.45" customHeight="1" x14ac:dyDescent="0.25">
      <c r="B19" s="177"/>
      <c r="C19" s="212">
        <v>36</v>
      </c>
      <c r="D19" s="220" t="s">
        <v>133</v>
      </c>
      <c r="E19" s="220" t="s">
        <v>132</v>
      </c>
      <c r="F19" s="150" t="s">
        <v>337</v>
      </c>
      <c r="G19" s="506" t="s">
        <v>96</v>
      </c>
      <c r="H19" s="506"/>
      <c r="I19" s="598"/>
      <c r="J19" s="219">
        <v>36</v>
      </c>
      <c r="K19" s="90" t="s">
        <v>55</v>
      </c>
      <c r="L19" s="98">
        <v>100</v>
      </c>
      <c r="M19" s="90"/>
      <c r="N19" s="271">
        <f t="shared" si="0"/>
        <v>3600</v>
      </c>
    </row>
    <row r="20" spans="2:14" ht="62.25" customHeight="1" x14ac:dyDescent="0.25">
      <c r="B20" s="177"/>
      <c r="C20" s="523"/>
      <c r="D20" s="524"/>
      <c r="E20" s="524"/>
      <c r="F20" s="524"/>
      <c r="G20" s="524"/>
      <c r="H20" s="524"/>
      <c r="I20" s="525"/>
      <c r="J20" s="257"/>
      <c r="K20" s="25"/>
      <c r="L20" s="79"/>
      <c r="M20" s="25"/>
      <c r="N20" s="270"/>
    </row>
    <row r="21" spans="2:14" ht="51.75" customHeight="1" x14ac:dyDescent="0.25">
      <c r="B21" s="177"/>
      <c r="C21" s="561" t="s">
        <v>82</v>
      </c>
      <c r="D21" s="562"/>
      <c r="E21" s="562"/>
      <c r="F21" s="562"/>
      <c r="G21" s="562"/>
      <c r="H21" s="562"/>
      <c r="I21" s="563"/>
      <c r="J21" s="257"/>
      <c r="K21" s="25"/>
      <c r="L21" s="79"/>
      <c r="M21" s="25"/>
      <c r="N21" s="270"/>
    </row>
    <row r="22" spans="2:14" ht="15.75" customHeight="1" x14ac:dyDescent="0.25">
      <c r="B22" s="177"/>
      <c r="C22" s="250"/>
      <c r="D22" s="669"/>
      <c r="E22" s="669"/>
      <c r="F22" s="669"/>
      <c r="G22" s="669"/>
      <c r="H22" s="669"/>
      <c r="I22" s="670"/>
      <c r="J22" s="257"/>
      <c r="K22" s="25"/>
      <c r="L22" s="79"/>
      <c r="M22" s="25"/>
      <c r="N22" s="272"/>
    </row>
    <row r="23" spans="2:14" ht="15.75" customHeight="1" x14ac:dyDescent="0.25">
      <c r="B23" s="177"/>
      <c r="C23" s="250"/>
      <c r="D23" s="251"/>
      <c r="E23" s="251"/>
      <c r="F23" s="251"/>
      <c r="G23" s="251"/>
      <c r="H23" s="251"/>
      <c r="I23" s="116"/>
      <c r="J23" s="257"/>
      <c r="K23" s="25"/>
      <c r="L23" s="79"/>
      <c r="M23" s="25"/>
      <c r="N23" s="270"/>
    </row>
    <row r="24" spans="2:14" ht="21" customHeight="1" x14ac:dyDescent="0.25">
      <c r="B24" s="177"/>
      <c r="C24" s="95" t="s">
        <v>134</v>
      </c>
      <c r="D24" s="251"/>
      <c r="E24" s="251"/>
      <c r="F24" s="251"/>
      <c r="G24" s="251"/>
      <c r="H24" s="251"/>
      <c r="I24" s="116"/>
      <c r="J24" s="257"/>
      <c r="K24" s="25"/>
      <c r="L24" s="79"/>
      <c r="M24" s="25"/>
      <c r="N24" s="272"/>
    </row>
    <row r="25" spans="2:14" ht="15.75" customHeight="1" x14ac:dyDescent="0.25">
      <c r="B25" s="177"/>
      <c r="C25" s="95" t="s">
        <v>336</v>
      </c>
      <c r="D25" s="251"/>
      <c r="E25" s="251"/>
      <c r="F25" s="251"/>
      <c r="G25" s="251"/>
      <c r="H25" s="251"/>
      <c r="I25" s="116"/>
      <c r="J25" s="257"/>
      <c r="K25" s="25"/>
      <c r="L25" s="79"/>
      <c r="M25" s="25"/>
      <c r="N25" s="270"/>
    </row>
    <row r="26" spans="2:14" ht="15.75" customHeight="1" x14ac:dyDescent="0.25">
      <c r="B26" s="177"/>
      <c r="C26" s="95"/>
      <c r="D26" s="251"/>
      <c r="E26" s="251"/>
      <c r="F26" s="251"/>
      <c r="G26" s="251"/>
      <c r="H26" s="251"/>
      <c r="I26" s="116"/>
      <c r="J26" s="257"/>
      <c r="K26" s="25"/>
      <c r="L26" s="79"/>
      <c r="M26" s="25"/>
      <c r="N26" s="270"/>
    </row>
    <row r="27" spans="2:14" ht="15.75" customHeight="1" x14ac:dyDescent="0.25">
      <c r="B27" s="177"/>
      <c r="C27" s="96" t="s">
        <v>33</v>
      </c>
      <c r="D27" s="251"/>
      <c r="E27" s="251"/>
      <c r="F27" s="251"/>
      <c r="G27" s="251"/>
      <c r="H27" s="251"/>
      <c r="I27" s="116"/>
      <c r="J27" s="257"/>
      <c r="K27" s="25"/>
      <c r="L27" s="79"/>
      <c r="M27" s="25"/>
      <c r="N27" s="270"/>
    </row>
    <row r="28" spans="2:14" ht="15.75" customHeight="1" x14ac:dyDescent="0.25">
      <c r="B28" s="177"/>
      <c r="C28" s="95" t="s">
        <v>34</v>
      </c>
      <c r="D28" s="251"/>
      <c r="E28" s="251"/>
      <c r="F28" s="251"/>
      <c r="G28" s="251"/>
      <c r="H28" s="251"/>
      <c r="I28" s="116"/>
      <c r="J28" s="257"/>
      <c r="K28" s="25"/>
      <c r="L28" s="79"/>
      <c r="M28" s="25"/>
      <c r="N28" s="270"/>
    </row>
    <row r="29" spans="2:14" ht="15.75" customHeight="1" x14ac:dyDescent="0.25">
      <c r="B29" s="177"/>
      <c r="C29" s="95" t="s">
        <v>35</v>
      </c>
      <c r="D29" s="251"/>
      <c r="E29" s="251"/>
      <c r="F29" s="251"/>
      <c r="G29" s="251"/>
      <c r="H29" s="251"/>
      <c r="I29" s="116"/>
      <c r="J29" s="257"/>
      <c r="K29" s="25"/>
      <c r="L29" s="79"/>
      <c r="M29" s="25"/>
      <c r="N29" s="270"/>
    </row>
    <row r="30" spans="2:14" ht="15.75" customHeight="1" x14ac:dyDescent="0.25">
      <c r="B30" s="177"/>
      <c r="C30" s="95"/>
      <c r="D30" s="251" t="s">
        <v>50</v>
      </c>
      <c r="E30" s="251"/>
      <c r="F30" s="251"/>
      <c r="G30" s="251"/>
      <c r="H30" s="251"/>
      <c r="I30" s="116"/>
      <c r="J30" s="257"/>
      <c r="K30" s="25"/>
      <c r="L30" s="79"/>
      <c r="M30" s="25"/>
      <c r="N30" s="270"/>
    </row>
    <row r="31" spans="2:14" ht="15.75" customHeight="1" x14ac:dyDescent="0.25">
      <c r="B31" s="177"/>
      <c r="C31" s="96" t="s">
        <v>36</v>
      </c>
      <c r="D31" s="251"/>
      <c r="E31" s="251"/>
      <c r="F31" s="251"/>
      <c r="G31" s="251"/>
      <c r="H31" s="251"/>
      <c r="I31" s="116"/>
      <c r="J31" s="257"/>
      <c r="K31" s="25"/>
      <c r="L31" s="79"/>
      <c r="M31" s="25"/>
      <c r="N31" s="270"/>
    </row>
    <row r="32" spans="2:14" ht="15.75" customHeight="1" x14ac:dyDescent="0.25">
      <c r="B32" s="177"/>
      <c r="C32" s="95" t="s">
        <v>37</v>
      </c>
      <c r="D32" s="251"/>
      <c r="E32" s="251"/>
      <c r="F32" s="251"/>
      <c r="G32" s="251"/>
      <c r="H32" s="251"/>
      <c r="I32" s="116"/>
      <c r="J32" s="257"/>
      <c r="K32" s="25"/>
      <c r="L32" s="79"/>
      <c r="M32" s="25"/>
      <c r="N32" s="270"/>
    </row>
    <row r="33" spans="2:15" ht="15.75" customHeight="1" x14ac:dyDescent="0.25">
      <c r="B33" s="177"/>
      <c r="C33" s="95" t="s">
        <v>44</v>
      </c>
      <c r="D33" s="251"/>
      <c r="E33" s="251"/>
      <c r="F33" s="251"/>
      <c r="G33" s="251"/>
      <c r="H33" s="251"/>
      <c r="I33" s="116"/>
      <c r="J33" s="257"/>
      <c r="K33" s="25"/>
      <c r="L33" s="79"/>
      <c r="M33" s="25"/>
      <c r="N33" s="270"/>
    </row>
    <row r="34" spans="2:15" ht="15.75" customHeight="1" x14ac:dyDescent="0.25">
      <c r="B34" s="177"/>
      <c r="C34" s="95"/>
      <c r="D34" s="251"/>
      <c r="E34" s="251"/>
      <c r="F34" s="251"/>
      <c r="G34" s="251"/>
      <c r="H34" s="251"/>
      <c r="I34" s="116"/>
      <c r="J34" s="257"/>
      <c r="K34" s="25"/>
      <c r="L34" s="79"/>
      <c r="M34" s="25"/>
      <c r="N34" s="270"/>
    </row>
    <row r="35" spans="2:15" ht="15.75" customHeight="1" x14ac:dyDescent="0.25">
      <c r="B35" s="177"/>
      <c r="C35" s="250"/>
      <c r="D35" s="251"/>
      <c r="E35" s="251"/>
      <c r="F35" s="251"/>
      <c r="G35" s="251"/>
      <c r="H35" s="251"/>
      <c r="I35" s="116"/>
      <c r="J35" s="257"/>
      <c r="K35" s="25"/>
      <c r="L35" s="79"/>
      <c r="M35" s="25"/>
      <c r="N35" s="270"/>
    </row>
    <row r="36" spans="2:15" ht="15.75" customHeight="1" x14ac:dyDescent="0.25">
      <c r="B36" s="177"/>
      <c r="C36" s="99" t="s">
        <v>8</v>
      </c>
      <c r="D36" s="251"/>
      <c r="E36" s="251"/>
      <c r="F36" s="251"/>
      <c r="G36" s="251"/>
      <c r="H36" s="251"/>
      <c r="I36" s="94"/>
      <c r="J36" s="37"/>
      <c r="K36" s="25"/>
      <c r="L36" s="79"/>
      <c r="M36" s="25"/>
      <c r="N36" s="270"/>
    </row>
    <row r="37" spans="2:15" ht="15.75" customHeight="1" x14ac:dyDescent="0.25">
      <c r="B37" s="179"/>
      <c r="C37" s="22" t="s">
        <v>38</v>
      </c>
      <c r="D37" s="253"/>
      <c r="E37" s="253"/>
      <c r="F37" s="253"/>
      <c r="G37" s="253"/>
      <c r="H37" s="253"/>
      <c r="I37" s="97"/>
      <c r="J37" s="84"/>
      <c r="K37" s="22"/>
      <c r="L37" s="156"/>
      <c r="M37" s="22"/>
      <c r="N37" s="273"/>
    </row>
    <row r="38" spans="2:15" ht="15.75" customHeight="1" x14ac:dyDescent="0.25">
      <c r="B38" s="179"/>
      <c r="C38" s="475"/>
      <c r="D38" s="518"/>
      <c r="E38" s="518"/>
      <c r="F38" s="518"/>
      <c r="G38" s="518"/>
      <c r="H38" s="253"/>
      <c r="I38" s="97"/>
      <c r="J38" s="84"/>
      <c r="K38" s="22"/>
      <c r="L38" s="85" t="s">
        <v>6</v>
      </c>
      <c r="M38" s="86" t="s">
        <v>5</v>
      </c>
      <c r="N38" s="274">
        <f>SUM(N17:N20)</f>
        <v>14400</v>
      </c>
    </row>
    <row r="39" spans="2:15" ht="15.6" customHeight="1" x14ac:dyDescent="0.25">
      <c r="B39" s="275" t="s">
        <v>4</v>
      </c>
      <c r="C39" s="557" t="s">
        <v>339</v>
      </c>
      <c r="D39" s="558"/>
      <c r="E39" s="558"/>
      <c r="F39" s="558"/>
      <c r="G39" s="558"/>
      <c r="H39" s="558"/>
      <c r="I39" s="558"/>
      <c r="J39" s="558"/>
      <c r="K39" s="558"/>
      <c r="L39" s="558"/>
      <c r="M39" s="558"/>
      <c r="N39" s="559"/>
    </row>
    <row r="40" spans="2:15" x14ac:dyDescent="0.25">
      <c r="B40" s="209"/>
      <c r="C40" s="445"/>
      <c r="D40" s="444"/>
      <c r="E40" s="444"/>
      <c r="F40" s="444"/>
      <c r="G40" s="444"/>
      <c r="H40" s="444"/>
      <c r="I40" s="446"/>
      <c r="J40" s="441" t="s">
        <v>3</v>
      </c>
      <c r="K40" s="442"/>
      <c r="L40" s="442"/>
      <c r="M40" s="442"/>
      <c r="N40" s="550"/>
    </row>
    <row r="41" spans="2:15" ht="31.5" customHeight="1" x14ac:dyDescent="0.25">
      <c r="B41" s="210" t="s">
        <v>2</v>
      </c>
      <c r="C41" s="507"/>
      <c r="D41" s="508"/>
      <c r="E41" s="508"/>
      <c r="F41" s="508"/>
      <c r="G41" s="508"/>
      <c r="H41" s="508"/>
      <c r="I41" s="509"/>
      <c r="J41" s="445"/>
      <c r="K41" s="444"/>
      <c r="L41" s="444"/>
      <c r="M41" s="444"/>
      <c r="N41" s="560"/>
    </row>
    <row r="42" spans="2:15" x14ac:dyDescent="0.25">
      <c r="B42" s="210" t="s">
        <v>1</v>
      </c>
      <c r="C42" s="513" t="s">
        <v>216</v>
      </c>
      <c r="D42" s="440"/>
      <c r="E42" s="440"/>
      <c r="F42" s="440"/>
      <c r="G42" s="440"/>
      <c r="H42" s="440"/>
      <c r="I42" s="514"/>
      <c r="J42" s="441" t="s">
        <v>318</v>
      </c>
      <c r="K42" s="442"/>
      <c r="L42" s="442"/>
      <c r="M42" s="442"/>
      <c r="N42" s="550"/>
    </row>
    <row r="43" spans="2:15" ht="16.5" thickBot="1" x14ac:dyDescent="0.3">
      <c r="B43" s="211" t="s">
        <v>0</v>
      </c>
      <c r="C43" s="551" t="s">
        <v>217</v>
      </c>
      <c r="D43" s="552"/>
      <c r="E43" s="552"/>
      <c r="F43" s="552"/>
      <c r="G43" s="552"/>
      <c r="H43" s="552"/>
      <c r="I43" s="553"/>
      <c r="J43" s="554" t="s">
        <v>32</v>
      </c>
      <c r="K43" s="555"/>
      <c r="L43" s="555"/>
      <c r="M43" s="555"/>
      <c r="N43" s="556"/>
    </row>
    <row r="44" spans="2:15" ht="8.25" customHeight="1"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27">
    <mergeCell ref="C11:G11"/>
    <mergeCell ref="B2:N2"/>
    <mergeCell ref="C6:I6"/>
    <mergeCell ref="M6:N6"/>
    <mergeCell ref="C8:I9"/>
    <mergeCell ref="C10:G10"/>
    <mergeCell ref="C40:I40"/>
    <mergeCell ref="J40:N40"/>
    <mergeCell ref="C12:G12"/>
    <mergeCell ref="C13:I13"/>
    <mergeCell ref="C15:G15"/>
    <mergeCell ref="G16:H16"/>
    <mergeCell ref="G17:H17"/>
    <mergeCell ref="I17:I19"/>
    <mergeCell ref="G18:H18"/>
    <mergeCell ref="G19:H19"/>
    <mergeCell ref="C20:I20"/>
    <mergeCell ref="C21:I21"/>
    <mergeCell ref="D22:I22"/>
    <mergeCell ref="C38:G38"/>
    <mergeCell ref="C39:N39"/>
    <mergeCell ref="C41:I41"/>
    <mergeCell ref="J41:N41"/>
    <mergeCell ref="C42:I42"/>
    <mergeCell ref="J42:N42"/>
    <mergeCell ref="C43:I43"/>
    <mergeCell ref="J43:N43"/>
  </mergeCells>
  <printOptions horizontalCentered="1"/>
  <pageMargins left="0.25" right="0.25" top="0.75" bottom="0.75" header="0.3" footer="0.3"/>
  <pageSetup paperSize="9" scale="53"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6829E-0A93-416A-A59F-950FE2D29B75}">
  <sheetPr>
    <tabColor rgb="FFFF0000"/>
    <pageSetUpPr fitToPage="1"/>
  </sheetPr>
  <dimension ref="B1:L37"/>
  <sheetViews>
    <sheetView view="pageBreakPreview" topLeftCell="A11" zoomScaleNormal="100" zoomScaleSheetLayoutView="100" workbookViewId="0">
      <selection activeCell="E16" sqref="E1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270</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323</v>
      </c>
      <c r="D11" s="540"/>
      <c r="E11" s="540"/>
      <c r="F11" s="540"/>
      <c r="G11" s="541"/>
      <c r="H11" s="103"/>
      <c r="I11" s="11"/>
      <c r="J11" s="52"/>
      <c r="L11" s="53"/>
    </row>
    <row r="12" spans="2:12" ht="21.7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3">
      <c r="B14" s="100"/>
      <c r="C14" s="244">
        <v>2</v>
      </c>
      <c r="D14" s="581" t="s">
        <v>143</v>
      </c>
      <c r="E14" s="582"/>
      <c r="F14" s="612"/>
      <c r="G14" s="584"/>
      <c r="H14" s="154">
        <v>1</v>
      </c>
      <c r="I14" s="293" t="s">
        <v>43</v>
      </c>
      <c r="J14" s="294">
        <v>432</v>
      </c>
      <c r="K14" s="295"/>
      <c r="L14" s="296">
        <f>H14*J14</f>
        <v>432</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106" t="s">
        <v>324</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ht="21.75" customHeight="1" x14ac:dyDescent="0.25">
      <c r="B18" s="100"/>
      <c r="C18" s="106"/>
      <c r="D18" s="218"/>
      <c r="E18" s="218"/>
      <c r="F18" s="221"/>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432</v>
      </c>
    </row>
    <row r="30" spans="2:12" ht="37.15" customHeight="1" x14ac:dyDescent="0.25">
      <c r="B30" s="88" t="s">
        <v>4</v>
      </c>
      <c r="C30" s="534" t="s">
        <v>322</v>
      </c>
      <c r="D30" s="535"/>
      <c r="E30" s="535"/>
      <c r="F30" s="535"/>
      <c r="G30" s="535"/>
      <c r="H30" s="535"/>
      <c r="I30" s="535"/>
      <c r="J30" s="535"/>
      <c r="K30" s="535"/>
      <c r="L30" s="536"/>
    </row>
    <row r="31" spans="2:12" x14ac:dyDescent="0.25">
      <c r="B31" s="136"/>
      <c r="C31" s="137"/>
      <c r="D31" s="138"/>
      <c r="E31" s="138"/>
      <c r="F31" s="138"/>
      <c r="G31" s="138"/>
      <c r="H31" s="138"/>
      <c r="I31" s="138"/>
      <c r="J31" s="138"/>
      <c r="K31" s="138"/>
      <c r="L31" s="141"/>
    </row>
    <row r="32" spans="2:12" x14ac:dyDescent="0.25">
      <c r="B32" s="136"/>
      <c r="C32" s="139"/>
      <c r="D32" s="140"/>
      <c r="E32" s="140"/>
      <c r="F32" s="140"/>
      <c r="G32" s="140"/>
      <c r="H32" s="117"/>
      <c r="I32" s="117"/>
      <c r="J32" s="117"/>
      <c r="K32" s="117"/>
      <c r="L32" s="118"/>
    </row>
    <row r="33" spans="2:12" x14ac:dyDescent="0.25">
      <c r="B33" s="73"/>
      <c r="C33" s="445"/>
      <c r="D33" s="444"/>
      <c r="E33" s="444"/>
      <c r="F33" s="444"/>
      <c r="G33" s="444"/>
      <c r="H33" s="441" t="s">
        <v>3</v>
      </c>
      <c r="I33" s="442"/>
      <c r="J33" s="442"/>
      <c r="K33" s="442"/>
      <c r="L33" s="443"/>
    </row>
    <row r="34" spans="2:12" x14ac:dyDescent="0.25">
      <c r="B34" s="25"/>
      <c r="C34" s="450"/>
      <c r="D34" s="480"/>
      <c r="E34" s="480"/>
      <c r="F34" s="480"/>
      <c r="G34" s="451"/>
      <c r="H34" s="454"/>
      <c r="I34" s="455"/>
      <c r="J34" s="455"/>
      <c r="K34" s="455"/>
      <c r="L34" s="456"/>
    </row>
    <row r="35" spans="2:12" x14ac:dyDescent="0.25">
      <c r="B35" s="78" t="s">
        <v>2</v>
      </c>
      <c r="C35" s="452"/>
      <c r="D35" s="481"/>
      <c r="E35" s="481"/>
      <c r="F35" s="481"/>
      <c r="G35" s="453"/>
      <c r="H35" s="457"/>
      <c r="I35" s="458"/>
      <c r="J35" s="458"/>
      <c r="K35" s="458"/>
      <c r="L35" s="459"/>
    </row>
    <row r="36" spans="2:12" x14ac:dyDescent="0.25">
      <c r="B36" s="78" t="s">
        <v>1</v>
      </c>
      <c r="C36" s="440" t="s">
        <v>216</v>
      </c>
      <c r="D36" s="440"/>
      <c r="E36" s="440"/>
      <c r="F36" s="440"/>
      <c r="G36" s="440"/>
      <c r="H36" s="441" t="s">
        <v>318</v>
      </c>
      <c r="I36" s="442"/>
      <c r="J36" s="442"/>
      <c r="K36" s="442"/>
      <c r="L36" s="443"/>
    </row>
    <row r="37" spans="2:12" x14ac:dyDescent="0.25">
      <c r="B37" s="83" t="s">
        <v>0</v>
      </c>
      <c r="C37" s="444" t="s">
        <v>271</v>
      </c>
      <c r="D37" s="444"/>
      <c r="E37" s="444"/>
      <c r="F37" s="444"/>
      <c r="G37" s="444"/>
      <c r="H37" s="445" t="s">
        <v>32</v>
      </c>
      <c r="I37" s="444"/>
      <c r="J37" s="444"/>
      <c r="K37" s="444"/>
      <c r="L37" s="446"/>
    </row>
  </sheetData>
  <mergeCells count="21">
    <mergeCell ref="C30:L30"/>
    <mergeCell ref="B1:L1"/>
    <mergeCell ref="B2:L2"/>
    <mergeCell ref="B3:L3"/>
    <mergeCell ref="B4:L4"/>
    <mergeCell ref="C6:H6"/>
    <mergeCell ref="C8:G8"/>
    <mergeCell ref="K8:L8"/>
    <mergeCell ref="C11:G12"/>
    <mergeCell ref="D13:E13"/>
    <mergeCell ref="F13:G13"/>
    <mergeCell ref="D14:E14"/>
    <mergeCell ref="F14:G14"/>
    <mergeCell ref="C37:G37"/>
    <mergeCell ref="H37:L37"/>
    <mergeCell ref="C33:G33"/>
    <mergeCell ref="H33:L33"/>
    <mergeCell ref="C34:G35"/>
    <mergeCell ref="H34:L35"/>
    <mergeCell ref="C36:G36"/>
    <mergeCell ref="H36:L36"/>
  </mergeCells>
  <pageMargins left="0.23622047244094491" right="0.23622047244094491" top="1.1417322834645669" bottom="0.74803149606299213" header="0.31496062992125984" footer="0.31496062992125984"/>
  <pageSetup paperSize="9" scale="73"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1:R52"/>
  <sheetViews>
    <sheetView view="pageBreakPreview" zoomScale="70" zoomScaleNormal="100" zoomScaleSheetLayoutView="70" workbookViewId="0">
      <selection activeCell="C24" sqref="C24:I25"/>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642" t="s">
        <v>28</v>
      </c>
      <c r="C1" s="642"/>
      <c r="D1" s="642"/>
      <c r="E1" s="642"/>
      <c r="F1" s="642"/>
      <c r="G1" s="642"/>
      <c r="H1" s="642"/>
      <c r="I1" s="642"/>
      <c r="J1" s="642"/>
      <c r="K1" s="642"/>
      <c r="L1" s="642"/>
      <c r="M1" s="642"/>
      <c r="N1" s="642"/>
      <c r="O1" s="24"/>
      <c r="P1" s="24"/>
      <c r="Q1" s="24"/>
      <c r="R1" s="24"/>
    </row>
    <row r="2" spans="2:18" ht="18" x14ac:dyDescent="0.25">
      <c r="B2" s="423" t="s">
        <v>27</v>
      </c>
      <c r="C2" s="423"/>
      <c r="D2" s="423"/>
      <c r="E2" s="423"/>
      <c r="F2" s="423"/>
      <c r="G2" s="423"/>
      <c r="H2" s="423"/>
      <c r="I2" s="423"/>
      <c r="J2" s="423"/>
      <c r="K2" s="423"/>
      <c r="L2" s="423"/>
      <c r="M2" s="423"/>
      <c r="N2" s="423"/>
      <c r="O2" s="32"/>
      <c r="P2" s="32"/>
      <c r="Q2" s="32"/>
      <c r="R2" s="32"/>
    </row>
    <row r="3" spans="2:18" ht="72" customHeight="1" x14ac:dyDescent="0.25">
      <c r="B3" s="575" t="s">
        <v>165</v>
      </c>
      <c r="C3" s="576"/>
      <c r="D3" s="576"/>
      <c r="E3" s="576"/>
      <c r="F3" s="576"/>
      <c r="G3" s="576"/>
      <c r="H3" s="576"/>
      <c r="I3" s="576"/>
      <c r="J3" s="576"/>
      <c r="K3" s="576"/>
      <c r="L3" s="576"/>
      <c r="M3" s="576"/>
      <c r="N3" s="577"/>
      <c r="O3" s="32"/>
      <c r="P3" s="32"/>
      <c r="Q3" s="32"/>
      <c r="R3" s="32"/>
    </row>
    <row r="4" spans="2:18" x14ac:dyDescent="0.25">
      <c r="B4" s="73"/>
      <c r="C4" s="74"/>
      <c r="D4" s="74"/>
      <c r="E4" s="74"/>
      <c r="F4" s="74"/>
      <c r="G4" s="74"/>
      <c r="H4" s="74"/>
      <c r="I4" s="75"/>
      <c r="J4" s="75"/>
      <c r="K4" s="29" t="s">
        <v>287</v>
      </c>
      <c r="L4" s="28"/>
      <c r="M4" s="29"/>
      <c r="N4" s="26" t="s">
        <v>284</v>
      </c>
    </row>
    <row r="5" spans="2:18" x14ac:dyDescent="0.25">
      <c r="B5" s="25" t="s">
        <v>26</v>
      </c>
      <c r="C5" s="32" t="s">
        <v>30</v>
      </c>
      <c r="D5" s="32"/>
      <c r="E5" s="32"/>
      <c r="F5" s="32"/>
      <c r="G5" s="32"/>
      <c r="H5" s="32"/>
      <c r="I5" s="32"/>
      <c r="J5" s="14"/>
      <c r="K5" s="24" t="s">
        <v>25</v>
      </c>
      <c r="L5" s="76"/>
      <c r="M5" s="24"/>
      <c r="N5" s="23" t="s">
        <v>22</v>
      </c>
    </row>
    <row r="6" spans="2:18" x14ac:dyDescent="0.25">
      <c r="B6" s="22" t="s">
        <v>298</v>
      </c>
      <c r="C6" s="72" t="s">
        <v>47</v>
      </c>
      <c r="D6" s="71"/>
      <c r="E6" s="71"/>
      <c r="F6" s="71"/>
      <c r="G6" s="71"/>
      <c r="H6" s="71"/>
      <c r="I6" s="72"/>
      <c r="J6" s="21"/>
      <c r="K6" s="20" t="s">
        <v>23</v>
      </c>
      <c r="L6" s="77"/>
      <c r="M6" s="20"/>
      <c r="N6" s="19" t="s">
        <v>22</v>
      </c>
    </row>
    <row r="7" spans="2:18" ht="39" customHeight="1" x14ac:dyDescent="0.25">
      <c r="B7" s="276" t="s">
        <v>29</v>
      </c>
      <c r="C7" s="500" t="s">
        <v>19</v>
      </c>
      <c r="D7" s="501"/>
      <c r="E7" s="501"/>
      <c r="F7" s="501"/>
      <c r="G7" s="501"/>
      <c r="H7" s="501"/>
      <c r="I7" s="502"/>
      <c r="J7" s="249" t="s">
        <v>21</v>
      </c>
      <c r="K7" s="249" t="s">
        <v>20</v>
      </c>
      <c r="L7" s="18" t="s">
        <v>18</v>
      </c>
      <c r="M7" s="643" t="s">
        <v>17</v>
      </c>
      <c r="N7" s="643"/>
    </row>
    <row r="8" spans="2:18" x14ac:dyDescent="0.25">
      <c r="B8" s="277"/>
      <c r="C8" s="278"/>
      <c r="D8" s="92"/>
      <c r="E8" s="92"/>
      <c r="F8" s="92"/>
      <c r="G8" s="92"/>
      <c r="H8" s="92"/>
      <c r="I8" s="92"/>
      <c r="J8" s="33"/>
      <c r="K8" s="16"/>
      <c r="L8" s="17"/>
      <c r="M8" s="16"/>
      <c r="N8" s="15"/>
    </row>
    <row r="9" spans="2:18" ht="15" customHeight="1" x14ac:dyDescent="0.25">
      <c r="B9" s="78"/>
      <c r="C9" s="523" t="s">
        <v>299</v>
      </c>
      <c r="D9" s="524"/>
      <c r="E9" s="524"/>
      <c r="F9" s="524"/>
      <c r="G9" s="524"/>
      <c r="H9" s="524"/>
      <c r="I9" s="525"/>
      <c r="J9" s="34"/>
      <c r="K9" s="25"/>
      <c r="L9" s="79"/>
      <c r="M9" s="25"/>
      <c r="N9" s="80"/>
    </row>
    <row r="10" spans="2:18" ht="19.5" customHeight="1" x14ac:dyDescent="0.25">
      <c r="B10" s="78"/>
      <c r="C10" s="523"/>
      <c r="D10" s="524"/>
      <c r="E10" s="524"/>
      <c r="F10" s="524"/>
      <c r="G10" s="524"/>
      <c r="H10" s="524"/>
      <c r="I10" s="525"/>
      <c r="J10" s="34"/>
      <c r="K10" s="25"/>
      <c r="L10" s="79"/>
      <c r="M10" s="25"/>
      <c r="N10" s="80"/>
    </row>
    <row r="11" spans="2:18"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166</v>
      </c>
      <c r="D13" s="564"/>
      <c r="E13" s="564"/>
      <c r="F13" s="564"/>
      <c r="G13" s="564"/>
      <c r="H13" s="564"/>
      <c r="I13" s="439"/>
      <c r="J13" s="279"/>
      <c r="K13" s="25"/>
      <c r="L13" s="79"/>
      <c r="M13" s="25"/>
      <c r="N13" s="80"/>
    </row>
    <row r="14" spans="2:18" ht="15.75" customHeight="1" x14ac:dyDescent="0.25">
      <c r="B14" s="78"/>
      <c r="C14" s="438" t="s">
        <v>286</v>
      </c>
      <c r="D14" s="564"/>
      <c r="E14" s="564"/>
      <c r="F14" s="564"/>
      <c r="G14" s="564"/>
      <c r="H14" s="564"/>
      <c r="I14" s="439"/>
      <c r="J14" s="279"/>
      <c r="K14" s="25"/>
      <c r="L14" s="79"/>
      <c r="M14" s="25"/>
      <c r="N14" s="80"/>
    </row>
    <row r="15" spans="2:18" x14ac:dyDescent="0.25">
      <c r="B15" s="78"/>
      <c r="C15" s="527"/>
      <c r="D15" s="527"/>
      <c r="E15" s="527"/>
      <c r="F15" s="527"/>
      <c r="G15" s="527"/>
      <c r="H15" s="255"/>
      <c r="I15" s="14"/>
      <c r="J15" s="35"/>
      <c r="K15" s="25"/>
      <c r="L15" s="79"/>
      <c r="M15" s="25"/>
      <c r="N15" s="80"/>
    </row>
    <row r="16" spans="2:18" ht="15.75" customHeight="1" x14ac:dyDescent="0.25">
      <c r="B16" s="78"/>
      <c r="C16" s="565" t="s">
        <v>16</v>
      </c>
      <c r="D16" s="566"/>
      <c r="E16" s="566"/>
      <c r="F16" s="566"/>
      <c r="G16" s="566"/>
      <c r="H16" s="251"/>
      <c r="I16" s="281"/>
      <c r="J16" s="37"/>
      <c r="K16" s="25"/>
      <c r="L16" s="79"/>
      <c r="M16" s="25"/>
      <c r="N16" s="80"/>
    </row>
    <row r="17" spans="2:15" ht="15.75" customHeight="1" x14ac:dyDescent="0.25">
      <c r="B17" s="78"/>
      <c r="C17" s="256" t="s">
        <v>15</v>
      </c>
      <c r="D17" s="256" t="s">
        <v>14</v>
      </c>
      <c r="E17" s="256" t="s">
        <v>13</v>
      </c>
      <c r="F17" s="256" t="s">
        <v>12</v>
      </c>
      <c r="G17" s="469" t="s">
        <v>11</v>
      </c>
      <c r="H17" s="469"/>
      <c r="I17" s="280" t="s">
        <v>10</v>
      </c>
      <c r="J17" s="36"/>
      <c r="K17" s="25"/>
      <c r="L17" s="79"/>
      <c r="M17" s="25"/>
      <c r="N17" s="80"/>
    </row>
    <row r="18" spans="2:15" ht="35.25" customHeight="1" x14ac:dyDescent="0.25">
      <c r="B18" s="78"/>
      <c r="C18" s="219">
        <v>1</v>
      </c>
      <c r="D18" s="308" t="s">
        <v>301</v>
      </c>
      <c r="E18" s="220" t="s">
        <v>145</v>
      </c>
      <c r="F18" s="282">
        <v>45138</v>
      </c>
      <c r="G18" s="674" t="s">
        <v>150</v>
      </c>
      <c r="H18" s="674"/>
      <c r="I18" s="283"/>
      <c r="J18" s="219">
        <v>1</v>
      </c>
      <c r="K18" s="25" t="s">
        <v>300</v>
      </c>
      <c r="L18" s="79">
        <v>10000</v>
      </c>
      <c r="M18" s="25"/>
      <c r="N18" s="82">
        <f t="shared" ref="N18" si="0">J18*L18</f>
        <v>10000</v>
      </c>
    </row>
    <row r="19" spans="2:15" ht="15.75" customHeight="1" x14ac:dyDescent="0.25">
      <c r="B19" s="78"/>
      <c r="C19" s="529"/>
      <c r="D19" s="530"/>
      <c r="E19" s="530"/>
      <c r="F19" s="530"/>
      <c r="G19" s="530"/>
      <c r="H19" s="530"/>
      <c r="I19" s="473"/>
      <c r="J19" s="257"/>
      <c r="K19" s="25"/>
      <c r="L19" s="79"/>
      <c r="M19" s="25"/>
      <c r="N19" s="80"/>
    </row>
    <row r="20" spans="2:15" ht="15.75" customHeight="1" x14ac:dyDescent="0.25">
      <c r="B20" s="78"/>
      <c r="C20" s="644"/>
      <c r="D20" s="645"/>
      <c r="E20" s="645"/>
      <c r="F20" s="645"/>
      <c r="G20" s="645"/>
      <c r="H20" s="645"/>
      <c r="I20" s="646"/>
      <c r="J20" s="257"/>
      <c r="K20" s="25"/>
      <c r="L20" s="79"/>
      <c r="M20" s="25"/>
      <c r="N20" s="80"/>
    </row>
    <row r="21" spans="2:15" ht="15.75" customHeight="1" x14ac:dyDescent="0.25">
      <c r="B21" s="78"/>
      <c r="C21" s="523" t="s">
        <v>151</v>
      </c>
      <c r="D21" s="524"/>
      <c r="E21" s="524"/>
      <c r="F21" s="524"/>
      <c r="G21" s="524"/>
      <c r="H21" s="524"/>
      <c r="I21" s="525"/>
      <c r="J21" s="257"/>
      <c r="K21" s="25"/>
      <c r="L21" s="79"/>
      <c r="M21" s="25"/>
      <c r="N21" s="80"/>
    </row>
    <row r="22" spans="2:15" ht="15.75" customHeight="1" x14ac:dyDescent="0.25">
      <c r="B22" s="78"/>
      <c r="C22" s="526" t="s">
        <v>152</v>
      </c>
      <c r="D22" s="527"/>
      <c r="E22" s="527"/>
      <c r="F22" s="527"/>
      <c r="G22" s="527"/>
      <c r="H22" s="527"/>
      <c r="I22" s="527"/>
      <c r="J22" s="284"/>
      <c r="K22" s="25"/>
      <c r="L22" s="79"/>
      <c r="M22" s="25"/>
      <c r="N22" s="80"/>
    </row>
    <row r="23" spans="2:15" ht="15.75" customHeight="1" x14ac:dyDescent="0.25">
      <c r="B23" s="78"/>
      <c r="C23" s="526" t="s">
        <v>153</v>
      </c>
      <c r="D23" s="527"/>
      <c r="E23" s="527"/>
      <c r="F23" s="527"/>
      <c r="G23" s="527"/>
      <c r="H23" s="527"/>
      <c r="I23" s="528"/>
      <c r="J23" s="35"/>
      <c r="K23" s="25"/>
      <c r="L23" s="79"/>
      <c r="M23" s="25"/>
      <c r="N23" s="80"/>
    </row>
    <row r="24" spans="2:15" ht="15.6" customHeight="1" x14ac:dyDescent="0.25">
      <c r="B24" s="78"/>
      <c r="C24" s="526" t="s">
        <v>154</v>
      </c>
      <c r="D24" s="527"/>
      <c r="E24" s="527"/>
      <c r="F24" s="527"/>
      <c r="G24" s="527"/>
      <c r="H24" s="527"/>
      <c r="I24" s="528"/>
      <c r="J24" s="284"/>
      <c r="K24" s="25"/>
      <c r="L24" s="79"/>
      <c r="M24" s="25"/>
      <c r="N24" s="80"/>
    </row>
    <row r="25" spans="2:15" x14ac:dyDescent="0.25">
      <c r="B25" s="78"/>
      <c r="C25" s="526"/>
      <c r="D25" s="527"/>
      <c r="E25" s="527"/>
      <c r="F25" s="527"/>
      <c r="G25" s="527"/>
      <c r="H25" s="527"/>
      <c r="I25" s="528"/>
      <c r="J25" s="284"/>
      <c r="K25" s="25"/>
      <c r="L25" s="79"/>
      <c r="M25" s="25"/>
      <c r="N25" s="80"/>
    </row>
    <row r="26" spans="2:15" ht="31.5" customHeight="1" x14ac:dyDescent="0.25">
      <c r="B26" s="78"/>
      <c r="C26" s="677"/>
      <c r="D26" s="678"/>
      <c r="E26" s="678"/>
      <c r="F26" s="678"/>
      <c r="G26" s="678"/>
      <c r="H26" s="678"/>
      <c r="I26" s="679"/>
      <c r="J26" s="35"/>
      <c r="K26" s="25"/>
      <c r="L26" s="79"/>
      <c r="M26" s="25"/>
      <c r="N26" s="80"/>
    </row>
    <row r="27" spans="2:15" x14ac:dyDescent="0.25">
      <c r="B27" s="78"/>
      <c r="C27" s="523" t="s">
        <v>155</v>
      </c>
      <c r="D27" s="524"/>
      <c r="E27" s="524"/>
      <c r="F27" s="524"/>
      <c r="G27" s="524"/>
      <c r="H27" s="524"/>
      <c r="I27" s="525"/>
      <c r="J27" s="37"/>
      <c r="K27" s="25"/>
      <c r="L27" s="79"/>
      <c r="M27" s="25"/>
      <c r="N27" s="80"/>
    </row>
    <row r="28" spans="2:15" x14ac:dyDescent="0.25">
      <c r="B28" s="78"/>
      <c r="C28" s="675" t="s">
        <v>167</v>
      </c>
      <c r="D28" s="676"/>
      <c r="E28" s="676"/>
      <c r="F28" s="676"/>
      <c r="G28" s="676"/>
      <c r="H28" s="676"/>
      <c r="I28" s="676"/>
      <c r="J28" s="285"/>
      <c r="K28" s="25"/>
      <c r="L28" s="79"/>
      <c r="M28" s="25"/>
      <c r="N28" s="80"/>
    </row>
    <row r="29" spans="2:15" ht="15.75" customHeight="1" x14ac:dyDescent="0.25">
      <c r="B29" s="78"/>
      <c r="C29" s="526" t="s">
        <v>156</v>
      </c>
      <c r="D29" s="527"/>
      <c r="E29" s="527"/>
      <c r="F29" s="527"/>
      <c r="G29" s="527"/>
      <c r="H29" s="527"/>
      <c r="I29" s="528"/>
      <c r="J29" s="35"/>
      <c r="K29" s="25"/>
      <c r="L29" s="79"/>
      <c r="M29" s="25"/>
      <c r="N29" s="80"/>
    </row>
    <row r="30" spans="2:15" ht="12.75" customHeight="1" x14ac:dyDescent="0.25">
      <c r="B30" s="78"/>
      <c r="C30" s="675" t="s">
        <v>157</v>
      </c>
      <c r="D30" s="676"/>
      <c r="E30" s="676"/>
      <c r="F30" s="676"/>
      <c r="G30" s="676"/>
      <c r="H30" s="676"/>
      <c r="I30" s="676"/>
      <c r="J30" s="285"/>
      <c r="K30" s="25"/>
      <c r="L30" s="79"/>
      <c r="M30" s="25"/>
      <c r="N30" s="80"/>
      <c r="O30" s="5"/>
    </row>
    <row r="31" spans="2:15" x14ac:dyDescent="0.25">
      <c r="B31" s="78"/>
      <c r="C31" s="675" t="s">
        <v>158</v>
      </c>
      <c r="D31" s="676"/>
      <c r="E31" s="676"/>
      <c r="F31" s="676"/>
      <c r="G31" s="676"/>
      <c r="H31" s="676"/>
      <c r="I31" s="680"/>
      <c r="J31" s="285"/>
      <c r="K31" s="25"/>
      <c r="L31" s="79"/>
      <c r="M31" s="25"/>
      <c r="N31" s="80"/>
      <c r="O31" s="5"/>
    </row>
    <row r="32" spans="2:15" x14ac:dyDescent="0.25">
      <c r="B32" s="78"/>
      <c r="C32" s="675"/>
      <c r="D32" s="676"/>
      <c r="E32" s="676"/>
      <c r="F32" s="676"/>
      <c r="G32" s="676"/>
      <c r="H32" s="676"/>
      <c r="I32" s="680"/>
      <c r="J32" s="285"/>
      <c r="K32" s="25"/>
      <c r="L32" s="79"/>
      <c r="M32" s="25"/>
      <c r="N32" s="80"/>
    </row>
    <row r="33" spans="2:14" x14ac:dyDescent="0.25">
      <c r="B33" s="78"/>
      <c r="C33" s="675" t="s">
        <v>159</v>
      </c>
      <c r="D33" s="676"/>
      <c r="E33" s="676"/>
      <c r="F33" s="676"/>
      <c r="G33" s="676"/>
      <c r="H33" s="676"/>
      <c r="I33" s="676"/>
      <c r="J33" s="285"/>
      <c r="K33" s="25"/>
      <c r="L33" s="79"/>
      <c r="M33" s="25"/>
      <c r="N33" s="80"/>
    </row>
    <row r="34" spans="2:14" x14ac:dyDescent="0.25">
      <c r="B34" s="78"/>
      <c r="C34" s="620" t="s">
        <v>160</v>
      </c>
      <c r="D34" s="621"/>
      <c r="E34" s="621"/>
      <c r="F34" s="621"/>
      <c r="G34" s="621"/>
      <c r="H34" s="621"/>
      <c r="I34" s="621"/>
      <c r="J34" s="286"/>
      <c r="K34" s="25"/>
      <c r="L34" s="79"/>
      <c r="M34" s="25"/>
      <c r="N34" s="80"/>
    </row>
    <row r="35" spans="2:14" x14ac:dyDescent="0.25">
      <c r="B35" s="78"/>
      <c r="C35" s="526" t="s">
        <v>161</v>
      </c>
      <c r="D35" s="527"/>
      <c r="E35" s="527"/>
      <c r="F35" s="527"/>
      <c r="G35" s="527"/>
      <c r="H35" s="255"/>
      <c r="I35" s="14"/>
      <c r="J35" s="35"/>
      <c r="K35" s="25"/>
      <c r="L35" s="79"/>
      <c r="M35" s="25"/>
      <c r="N35" s="80"/>
    </row>
    <row r="36" spans="2:14" x14ac:dyDescent="0.25">
      <c r="B36" s="78"/>
      <c r="C36" s="681"/>
      <c r="D36" s="682"/>
      <c r="E36" s="682"/>
      <c r="F36" s="682"/>
      <c r="G36" s="682"/>
      <c r="H36" s="682"/>
      <c r="I36" s="683"/>
      <c r="J36" s="35"/>
      <c r="K36" s="25"/>
      <c r="L36" s="79"/>
      <c r="M36" s="25"/>
      <c r="N36" s="80"/>
    </row>
    <row r="37" spans="2:14" x14ac:dyDescent="0.25">
      <c r="B37" s="78"/>
      <c r="C37" s="681"/>
      <c r="D37" s="682"/>
      <c r="E37" s="682"/>
      <c r="F37" s="682"/>
      <c r="G37" s="682"/>
      <c r="H37" s="682"/>
      <c r="I37" s="683"/>
      <c r="J37" s="35"/>
      <c r="K37" s="25"/>
      <c r="L37" s="79"/>
      <c r="M37" s="25"/>
      <c r="N37" s="80"/>
    </row>
    <row r="38" spans="2:14" x14ac:dyDescent="0.25">
      <c r="B38" s="78"/>
      <c r="C38" s="523" t="s">
        <v>162</v>
      </c>
      <c r="D38" s="524"/>
      <c r="E38" s="524"/>
      <c r="F38" s="524"/>
      <c r="G38" s="524"/>
      <c r="H38" s="251"/>
      <c r="I38" s="281"/>
      <c r="J38" s="37"/>
      <c r="K38" s="25"/>
      <c r="L38" s="79"/>
      <c r="M38" s="25"/>
      <c r="N38" s="80"/>
    </row>
    <row r="39" spans="2:14" x14ac:dyDescent="0.25">
      <c r="B39" s="78"/>
      <c r="C39" s="526" t="s">
        <v>163</v>
      </c>
      <c r="D39" s="527"/>
      <c r="E39" s="527"/>
      <c r="F39" s="527"/>
      <c r="G39" s="527"/>
      <c r="H39" s="255"/>
      <c r="I39" s="14"/>
      <c r="J39" s="35"/>
      <c r="K39" s="25"/>
      <c r="L39" s="79"/>
      <c r="M39" s="25"/>
      <c r="N39" s="80"/>
    </row>
    <row r="40" spans="2:14" x14ac:dyDescent="0.25">
      <c r="B40" s="78"/>
      <c r="C40" s="526" t="s">
        <v>164</v>
      </c>
      <c r="D40" s="527"/>
      <c r="E40" s="527"/>
      <c r="F40" s="527"/>
      <c r="G40" s="527"/>
      <c r="H40" s="255"/>
      <c r="I40" s="14"/>
      <c r="J40" s="35"/>
      <c r="K40" s="25"/>
      <c r="L40" s="79"/>
      <c r="M40" s="25"/>
      <c r="N40" s="80"/>
    </row>
    <row r="41" spans="2:14" x14ac:dyDescent="0.25">
      <c r="B41" s="78"/>
      <c r="C41" s="526" t="s">
        <v>168</v>
      </c>
      <c r="D41" s="527"/>
      <c r="E41" s="527"/>
      <c r="F41" s="527"/>
      <c r="G41" s="527"/>
      <c r="H41" s="527"/>
      <c r="I41" s="528"/>
      <c r="J41" s="35"/>
      <c r="K41" s="25"/>
      <c r="L41" s="79"/>
      <c r="M41" s="25"/>
      <c r="N41" s="80"/>
    </row>
    <row r="42" spans="2:14" ht="20.25" customHeight="1" x14ac:dyDescent="0.25">
      <c r="B42" s="78"/>
      <c r="C42" s="526"/>
      <c r="D42" s="527"/>
      <c r="E42" s="527"/>
      <c r="F42" s="527"/>
      <c r="G42" s="527"/>
      <c r="H42" s="527"/>
      <c r="I42" s="528"/>
      <c r="J42" s="35"/>
      <c r="K42" s="25"/>
      <c r="L42" s="79"/>
      <c r="M42" s="25"/>
      <c r="N42" s="80"/>
    </row>
    <row r="43" spans="2:14" x14ac:dyDescent="0.25">
      <c r="B43" s="78"/>
      <c r="C43" s="288"/>
      <c r="D43" s="289"/>
      <c r="E43" s="289"/>
      <c r="F43" s="289"/>
      <c r="G43" s="289"/>
      <c r="H43" s="289"/>
      <c r="I43" s="289"/>
      <c r="J43" s="35"/>
      <c r="K43" s="25"/>
      <c r="L43" s="79"/>
      <c r="M43" s="25"/>
      <c r="N43" s="80"/>
    </row>
    <row r="44" spans="2:14" x14ac:dyDescent="0.25">
      <c r="B44" s="78"/>
      <c r="C44" s="288"/>
      <c r="D44" s="289"/>
      <c r="E44" s="289"/>
      <c r="F44" s="289"/>
      <c r="G44" s="289"/>
      <c r="H44" s="289"/>
      <c r="I44" s="289"/>
      <c r="J44" s="35"/>
      <c r="K44" s="25"/>
      <c r="L44" s="79"/>
      <c r="M44" s="25"/>
      <c r="N44" s="80"/>
    </row>
    <row r="45" spans="2:14" x14ac:dyDescent="0.25">
      <c r="B45" s="78"/>
      <c r="C45" s="523" t="s">
        <v>8</v>
      </c>
      <c r="D45" s="524"/>
      <c r="E45" s="524"/>
      <c r="F45" s="524"/>
      <c r="G45" s="524"/>
      <c r="H45" s="251"/>
      <c r="I45" s="281"/>
      <c r="J45" s="37"/>
      <c r="K45" s="25"/>
      <c r="L45" s="79"/>
      <c r="M45" s="25"/>
      <c r="N45" s="80"/>
    </row>
    <row r="46" spans="2:14" x14ac:dyDescent="0.25">
      <c r="B46" s="78"/>
      <c r="C46" s="526" t="s">
        <v>7</v>
      </c>
      <c r="D46" s="527"/>
      <c r="E46" s="527"/>
      <c r="F46" s="527"/>
      <c r="G46" s="527"/>
      <c r="H46" s="255"/>
      <c r="I46" s="14"/>
      <c r="J46" s="35"/>
      <c r="K46" s="25"/>
      <c r="L46" s="79"/>
      <c r="M46" s="25"/>
      <c r="N46" s="80"/>
    </row>
    <row r="47" spans="2:14" x14ac:dyDescent="0.25">
      <c r="B47" s="83"/>
      <c r="C47" s="475"/>
      <c r="D47" s="518"/>
      <c r="E47" s="518"/>
      <c r="F47" s="518"/>
      <c r="G47" s="518"/>
      <c r="H47" s="253"/>
      <c r="I47" s="287"/>
      <c r="J47" s="84"/>
      <c r="K47" s="22"/>
      <c r="L47" s="85" t="s">
        <v>6</v>
      </c>
      <c r="M47" s="86" t="s">
        <v>5</v>
      </c>
      <c r="N47" s="87">
        <f>SUM(N16:N45)</f>
        <v>10000</v>
      </c>
    </row>
    <row r="48" spans="2:14" ht="33.75" customHeight="1" x14ac:dyDescent="0.25">
      <c r="B48" s="88" t="s">
        <v>4</v>
      </c>
      <c r="C48" s="557" t="s">
        <v>299</v>
      </c>
      <c r="D48" s="558"/>
      <c r="E48" s="558"/>
      <c r="F48" s="558"/>
      <c r="G48" s="558"/>
      <c r="H48" s="558"/>
      <c r="I48" s="558"/>
      <c r="J48" s="558"/>
      <c r="K48" s="558"/>
      <c r="L48" s="558"/>
      <c r="M48" s="558"/>
      <c r="N48" s="684"/>
    </row>
    <row r="49" spans="2:14" x14ac:dyDescent="0.25">
      <c r="B49" s="73"/>
      <c r="C49" s="445"/>
      <c r="D49" s="444"/>
      <c r="E49" s="444"/>
      <c r="F49" s="444"/>
      <c r="G49" s="444"/>
      <c r="H49" s="444"/>
      <c r="I49" s="446"/>
      <c r="J49" s="441" t="s">
        <v>3</v>
      </c>
      <c r="K49" s="442"/>
      <c r="L49" s="442"/>
      <c r="M49" s="442"/>
      <c r="N49" s="443"/>
    </row>
    <row r="50" spans="2:14" ht="29.25" customHeight="1" x14ac:dyDescent="0.25">
      <c r="B50" s="78" t="s">
        <v>2</v>
      </c>
      <c r="C50" s="507"/>
      <c r="D50" s="508"/>
      <c r="E50" s="508"/>
      <c r="F50" s="508"/>
      <c r="G50" s="508"/>
      <c r="H50" s="508"/>
      <c r="I50" s="509"/>
      <c r="J50" s="445"/>
      <c r="K50" s="444"/>
      <c r="L50" s="444"/>
      <c r="M50" s="444"/>
      <c r="N50" s="444"/>
    </row>
    <row r="51" spans="2:14" x14ac:dyDescent="0.25">
      <c r="B51" s="78" t="s">
        <v>1</v>
      </c>
      <c r="C51" s="513" t="s">
        <v>302</v>
      </c>
      <c r="D51" s="440"/>
      <c r="E51" s="440"/>
      <c r="F51" s="440"/>
      <c r="G51" s="440"/>
      <c r="H51" s="440"/>
      <c r="I51" s="514"/>
      <c r="J51" s="441" t="s">
        <v>272</v>
      </c>
      <c r="K51" s="442"/>
      <c r="L51" s="442"/>
      <c r="M51" s="442"/>
      <c r="N51" s="443"/>
    </row>
    <row r="52" spans="2:14" x14ac:dyDescent="0.25">
      <c r="B52" s="83" t="s">
        <v>0</v>
      </c>
      <c r="C52" s="507" t="s">
        <v>217</v>
      </c>
      <c r="D52" s="508"/>
      <c r="E52" s="508"/>
      <c r="F52" s="508"/>
      <c r="G52" s="508"/>
      <c r="H52" s="508"/>
      <c r="I52" s="509"/>
      <c r="J52" s="445" t="s">
        <v>32</v>
      </c>
      <c r="K52" s="444"/>
      <c r="L52" s="444"/>
      <c r="M52" s="444"/>
      <c r="N52" s="446"/>
    </row>
  </sheetData>
  <mergeCells count="48">
    <mergeCell ref="C52:I52"/>
    <mergeCell ref="J52:N52"/>
    <mergeCell ref="C48:N48"/>
    <mergeCell ref="C49:I49"/>
    <mergeCell ref="J49:N49"/>
    <mergeCell ref="C50:I50"/>
    <mergeCell ref="J50:N50"/>
    <mergeCell ref="C51:I51"/>
    <mergeCell ref="J51:N51"/>
    <mergeCell ref="C47:G47"/>
    <mergeCell ref="C34:I34"/>
    <mergeCell ref="C35:G35"/>
    <mergeCell ref="C36:I36"/>
    <mergeCell ref="C37:I37"/>
    <mergeCell ref="C38:G38"/>
    <mergeCell ref="C39:G39"/>
    <mergeCell ref="C40:G40"/>
    <mergeCell ref="C41:I41"/>
    <mergeCell ref="C42:I42"/>
    <mergeCell ref="C45:G45"/>
    <mergeCell ref="C46:G46"/>
    <mergeCell ref="C33:I33"/>
    <mergeCell ref="C20:I20"/>
    <mergeCell ref="C21:I21"/>
    <mergeCell ref="C22:I22"/>
    <mergeCell ref="C23:I23"/>
    <mergeCell ref="C24:I25"/>
    <mergeCell ref="C26:I26"/>
    <mergeCell ref="C27:I27"/>
    <mergeCell ref="C28:I28"/>
    <mergeCell ref="C29:I29"/>
    <mergeCell ref="C30:I30"/>
    <mergeCell ref="C31:I32"/>
    <mergeCell ref="G17:H17"/>
    <mergeCell ref="G18:H18"/>
    <mergeCell ref="C19:I19"/>
    <mergeCell ref="C11:G11"/>
    <mergeCell ref="C12:G12"/>
    <mergeCell ref="C13:I13"/>
    <mergeCell ref="C14:I14"/>
    <mergeCell ref="C15:G15"/>
    <mergeCell ref="C16:G16"/>
    <mergeCell ref="C9:I10"/>
    <mergeCell ref="B1:N1"/>
    <mergeCell ref="B2:N2"/>
    <mergeCell ref="B3:N3"/>
    <mergeCell ref="C7:I7"/>
    <mergeCell ref="M7:N7"/>
  </mergeCells>
  <printOptions horizontalCentered="1"/>
  <pageMargins left="0.25" right="0.25" top="0.75" bottom="0.75" header="0.3" footer="0.3"/>
  <pageSetup paperSize="9" scale="53"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1:R52"/>
  <sheetViews>
    <sheetView view="pageBreakPreview" topLeftCell="A14" zoomScale="70" zoomScaleNormal="100" zoomScaleSheetLayoutView="70" workbookViewId="0">
      <selection activeCell="C51" sqref="C51:I5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642" t="s">
        <v>28</v>
      </c>
      <c r="C1" s="642"/>
      <c r="D1" s="642"/>
      <c r="E1" s="642"/>
      <c r="F1" s="642"/>
      <c r="G1" s="642"/>
      <c r="H1" s="642"/>
      <c r="I1" s="642"/>
      <c r="J1" s="642"/>
      <c r="K1" s="642"/>
      <c r="L1" s="642"/>
      <c r="M1" s="642"/>
      <c r="N1" s="642"/>
      <c r="O1" s="24"/>
      <c r="P1" s="24"/>
      <c r="Q1" s="24"/>
      <c r="R1" s="24"/>
    </row>
    <row r="2" spans="2:18" ht="18" x14ac:dyDescent="0.25">
      <c r="B2" s="423" t="s">
        <v>27</v>
      </c>
      <c r="C2" s="423"/>
      <c r="D2" s="423"/>
      <c r="E2" s="423"/>
      <c r="F2" s="423"/>
      <c r="G2" s="423"/>
      <c r="H2" s="423"/>
      <c r="I2" s="423"/>
      <c r="J2" s="423"/>
      <c r="K2" s="423"/>
      <c r="L2" s="423"/>
      <c r="M2" s="423"/>
      <c r="N2" s="423"/>
      <c r="O2" s="32"/>
      <c r="P2" s="32"/>
      <c r="Q2" s="32"/>
      <c r="R2" s="32"/>
    </row>
    <row r="3" spans="2:18" ht="72" customHeight="1" x14ac:dyDescent="0.25">
      <c r="B3" s="575" t="s">
        <v>165</v>
      </c>
      <c r="C3" s="576"/>
      <c r="D3" s="576"/>
      <c r="E3" s="576"/>
      <c r="F3" s="576"/>
      <c r="G3" s="576"/>
      <c r="H3" s="576"/>
      <c r="I3" s="576"/>
      <c r="J3" s="576"/>
      <c r="K3" s="576"/>
      <c r="L3" s="576"/>
      <c r="M3" s="576"/>
      <c r="N3" s="577"/>
      <c r="O3" s="32"/>
      <c r="P3" s="32"/>
      <c r="Q3" s="32"/>
      <c r="R3" s="32"/>
    </row>
    <row r="4" spans="2:18" x14ac:dyDescent="0.25">
      <c r="B4" s="73"/>
      <c r="C4" s="74"/>
      <c r="D4" s="74"/>
      <c r="E4" s="74"/>
      <c r="F4" s="74"/>
      <c r="G4" s="74"/>
      <c r="H4" s="74"/>
      <c r="I4" s="75"/>
      <c r="J4" s="75"/>
      <c r="K4" s="29" t="s">
        <v>287</v>
      </c>
      <c r="L4" s="28"/>
      <c r="M4" s="29"/>
      <c r="N4" s="26" t="s">
        <v>284</v>
      </c>
    </row>
    <row r="5" spans="2:18" x14ac:dyDescent="0.25">
      <c r="B5" s="25" t="s">
        <v>26</v>
      </c>
      <c r="C5" s="32" t="s">
        <v>30</v>
      </c>
      <c r="D5" s="32"/>
      <c r="E5" s="32"/>
      <c r="F5" s="32"/>
      <c r="G5" s="32"/>
      <c r="H5" s="32"/>
      <c r="I5" s="32"/>
      <c r="J5" s="14"/>
      <c r="K5" s="24" t="s">
        <v>25</v>
      </c>
      <c r="L5" s="76"/>
      <c r="M5" s="24"/>
      <c r="N5" s="23" t="s">
        <v>22</v>
      </c>
    </row>
    <row r="6" spans="2:18" x14ac:dyDescent="0.25">
      <c r="B6" s="22" t="s">
        <v>298</v>
      </c>
      <c r="C6" s="72" t="s">
        <v>47</v>
      </c>
      <c r="D6" s="71"/>
      <c r="E6" s="71"/>
      <c r="F6" s="71"/>
      <c r="G6" s="71"/>
      <c r="H6" s="71"/>
      <c r="I6" s="72"/>
      <c r="J6" s="21"/>
      <c r="K6" s="20" t="s">
        <v>23</v>
      </c>
      <c r="L6" s="77"/>
      <c r="M6" s="20"/>
      <c r="N6" s="19" t="s">
        <v>22</v>
      </c>
    </row>
    <row r="7" spans="2:18" ht="39" customHeight="1" x14ac:dyDescent="0.25">
      <c r="B7" s="276" t="s">
        <v>29</v>
      </c>
      <c r="C7" s="500" t="s">
        <v>19</v>
      </c>
      <c r="D7" s="501"/>
      <c r="E7" s="501"/>
      <c r="F7" s="501"/>
      <c r="G7" s="501"/>
      <c r="H7" s="501"/>
      <c r="I7" s="502"/>
      <c r="J7" s="249" t="s">
        <v>21</v>
      </c>
      <c r="K7" s="249" t="s">
        <v>20</v>
      </c>
      <c r="L7" s="18" t="s">
        <v>18</v>
      </c>
      <c r="M7" s="643" t="s">
        <v>17</v>
      </c>
      <c r="N7" s="643"/>
    </row>
    <row r="8" spans="2:18" x14ac:dyDescent="0.25">
      <c r="B8" s="277"/>
      <c r="C8" s="278"/>
      <c r="D8" s="92"/>
      <c r="E8" s="92"/>
      <c r="F8" s="92"/>
      <c r="G8" s="92"/>
      <c r="H8" s="92"/>
      <c r="I8" s="92"/>
      <c r="J8" s="33"/>
      <c r="K8" s="16"/>
      <c r="L8" s="17"/>
      <c r="M8" s="16"/>
      <c r="N8" s="15"/>
    </row>
    <row r="9" spans="2:18" ht="15" customHeight="1" x14ac:dyDescent="0.25">
      <c r="B9" s="78"/>
      <c r="C9" s="523" t="s">
        <v>303</v>
      </c>
      <c r="D9" s="524"/>
      <c r="E9" s="524"/>
      <c r="F9" s="524"/>
      <c r="G9" s="524"/>
      <c r="H9" s="524"/>
      <c r="I9" s="525"/>
      <c r="J9" s="34"/>
      <c r="K9" s="25"/>
      <c r="L9" s="79"/>
      <c r="M9" s="25"/>
      <c r="N9" s="80"/>
    </row>
    <row r="10" spans="2:18" ht="19.5" customHeight="1" x14ac:dyDescent="0.25">
      <c r="B10" s="78"/>
      <c r="C10" s="523"/>
      <c r="D10" s="524"/>
      <c r="E10" s="524"/>
      <c r="F10" s="524"/>
      <c r="G10" s="524"/>
      <c r="H10" s="524"/>
      <c r="I10" s="525"/>
      <c r="J10" s="34"/>
      <c r="K10" s="25"/>
      <c r="L10" s="79"/>
      <c r="M10" s="25"/>
      <c r="N10" s="80"/>
    </row>
    <row r="11" spans="2:18"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166</v>
      </c>
      <c r="D13" s="564"/>
      <c r="E13" s="564"/>
      <c r="F13" s="564"/>
      <c r="G13" s="564"/>
      <c r="H13" s="564"/>
      <c r="I13" s="439"/>
      <c r="J13" s="279"/>
      <c r="K13" s="25"/>
      <c r="L13" s="79"/>
      <c r="M13" s="25"/>
      <c r="N13" s="80"/>
    </row>
    <row r="14" spans="2:18" ht="15.75" customHeight="1" x14ac:dyDescent="0.25">
      <c r="B14" s="78"/>
      <c r="C14" s="438" t="s">
        <v>304</v>
      </c>
      <c r="D14" s="564"/>
      <c r="E14" s="564"/>
      <c r="F14" s="564"/>
      <c r="G14" s="564"/>
      <c r="H14" s="564"/>
      <c r="I14" s="439"/>
      <c r="J14" s="279"/>
      <c r="K14" s="25"/>
      <c r="L14" s="79"/>
      <c r="M14" s="25"/>
      <c r="N14" s="80"/>
    </row>
    <row r="15" spans="2:18" x14ac:dyDescent="0.25">
      <c r="B15" s="78"/>
      <c r="C15" s="527"/>
      <c r="D15" s="527"/>
      <c r="E15" s="527"/>
      <c r="F15" s="527"/>
      <c r="G15" s="527"/>
      <c r="H15" s="255"/>
      <c r="I15" s="14"/>
      <c r="J15" s="35"/>
      <c r="K15" s="25"/>
      <c r="L15" s="79"/>
      <c r="M15" s="25"/>
      <c r="N15" s="80"/>
    </row>
    <row r="16" spans="2:18" ht="15.75" customHeight="1" x14ac:dyDescent="0.25">
      <c r="B16" s="78"/>
      <c r="C16" s="565" t="s">
        <v>16</v>
      </c>
      <c r="D16" s="566"/>
      <c r="E16" s="566"/>
      <c r="F16" s="566"/>
      <c r="G16" s="566"/>
      <c r="H16" s="251"/>
      <c r="I16" s="281"/>
      <c r="J16" s="37"/>
      <c r="K16" s="25"/>
      <c r="L16" s="79"/>
      <c r="M16" s="25"/>
      <c r="N16" s="80"/>
    </row>
    <row r="17" spans="2:15" ht="15.75" customHeight="1" x14ac:dyDescent="0.25">
      <c r="B17" s="78"/>
      <c r="C17" s="256" t="s">
        <v>15</v>
      </c>
      <c r="D17" s="256" t="s">
        <v>14</v>
      </c>
      <c r="E17" s="256" t="s">
        <v>13</v>
      </c>
      <c r="F17" s="256" t="s">
        <v>12</v>
      </c>
      <c r="G17" s="469" t="s">
        <v>11</v>
      </c>
      <c r="H17" s="469"/>
      <c r="I17" s="280" t="s">
        <v>10</v>
      </c>
      <c r="J17" s="36"/>
      <c r="K17" s="25"/>
      <c r="L17" s="79"/>
      <c r="M17" s="25"/>
      <c r="N17" s="80"/>
    </row>
    <row r="18" spans="2:15" ht="35.25" customHeight="1" x14ac:dyDescent="0.25">
      <c r="B18" s="78"/>
      <c r="C18" s="219">
        <v>200</v>
      </c>
      <c r="D18" s="308" t="s">
        <v>301</v>
      </c>
      <c r="E18" s="220" t="s">
        <v>305</v>
      </c>
      <c r="F18" s="282" t="s">
        <v>306</v>
      </c>
      <c r="G18" s="674" t="s">
        <v>150</v>
      </c>
      <c r="H18" s="674"/>
      <c r="I18" s="283"/>
      <c r="J18" s="219">
        <v>200</v>
      </c>
      <c r="K18" s="25" t="s">
        <v>55</v>
      </c>
      <c r="L18" s="79">
        <v>150</v>
      </c>
      <c r="M18" s="25"/>
      <c r="N18" s="82">
        <f t="shared" ref="N18" si="0">J18*L18</f>
        <v>30000</v>
      </c>
    </row>
    <row r="19" spans="2:15" ht="15.75" customHeight="1" x14ac:dyDescent="0.25">
      <c r="B19" s="78"/>
      <c r="C19" s="529"/>
      <c r="D19" s="530"/>
      <c r="E19" s="530"/>
      <c r="F19" s="530"/>
      <c r="G19" s="530"/>
      <c r="H19" s="530"/>
      <c r="I19" s="473"/>
      <c r="J19" s="257"/>
      <c r="K19" s="25"/>
      <c r="L19" s="79"/>
      <c r="M19" s="25"/>
      <c r="N19" s="80"/>
    </row>
    <row r="20" spans="2:15" ht="15.75" customHeight="1" x14ac:dyDescent="0.25">
      <c r="B20" s="78"/>
      <c r="C20" s="644"/>
      <c r="D20" s="645"/>
      <c r="E20" s="645"/>
      <c r="F20" s="645"/>
      <c r="G20" s="645"/>
      <c r="H20" s="645"/>
      <c r="I20" s="646"/>
      <c r="J20" s="257"/>
      <c r="K20" s="25"/>
      <c r="L20" s="79"/>
      <c r="M20" s="25"/>
      <c r="N20" s="80"/>
    </row>
    <row r="21" spans="2:15" ht="15.75" customHeight="1" x14ac:dyDescent="0.25">
      <c r="B21" s="78"/>
      <c r="C21" s="523" t="s">
        <v>151</v>
      </c>
      <c r="D21" s="524"/>
      <c r="E21" s="524"/>
      <c r="F21" s="524"/>
      <c r="G21" s="524"/>
      <c r="H21" s="524"/>
      <c r="I21" s="525"/>
      <c r="J21" s="257"/>
      <c r="K21" s="25"/>
      <c r="L21" s="79"/>
      <c r="M21" s="25"/>
      <c r="N21" s="80"/>
    </row>
    <row r="22" spans="2:15" ht="15.75" customHeight="1" x14ac:dyDescent="0.25">
      <c r="B22" s="78"/>
      <c r="C22" s="526" t="s">
        <v>152</v>
      </c>
      <c r="D22" s="527"/>
      <c r="E22" s="527"/>
      <c r="F22" s="527"/>
      <c r="G22" s="527"/>
      <c r="H22" s="527"/>
      <c r="I22" s="527"/>
      <c r="J22" s="284"/>
      <c r="K22" s="25"/>
      <c r="L22" s="79"/>
      <c r="M22" s="25"/>
      <c r="N22" s="80"/>
    </row>
    <row r="23" spans="2:15" ht="15.75" customHeight="1" x14ac:dyDescent="0.25">
      <c r="B23" s="78"/>
      <c r="C23" s="526" t="s">
        <v>153</v>
      </c>
      <c r="D23" s="527"/>
      <c r="E23" s="527"/>
      <c r="F23" s="527"/>
      <c r="G23" s="527"/>
      <c r="H23" s="527"/>
      <c r="I23" s="528"/>
      <c r="J23" s="35"/>
      <c r="K23" s="25"/>
      <c r="L23" s="79"/>
      <c r="M23" s="25"/>
      <c r="N23" s="80"/>
    </row>
    <row r="24" spans="2:15" ht="15.6" customHeight="1" x14ac:dyDescent="0.25">
      <c r="B24" s="78"/>
      <c r="C24" s="526" t="s">
        <v>154</v>
      </c>
      <c r="D24" s="527"/>
      <c r="E24" s="527"/>
      <c r="F24" s="527"/>
      <c r="G24" s="527"/>
      <c r="H24" s="527"/>
      <c r="I24" s="528"/>
      <c r="J24" s="284"/>
      <c r="K24" s="25"/>
      <c r="L24" s="79"/>
      <c r="M24" s="25"/>
      <c r="N24" s="80"/>
    </row>
    <row r="25" spans="2:15" x14ac:dyDescent="0.25">
      <c r="B25" s="78"/>
      <c r="C25" s="526"/>
      <c r="D25" s="527"/>
      <c r="E25" s="527"/>
      <c r="F25" s="527"/>
      <c r="G25" s="527"/>
      <c r="H25" s="527"/>
      <c r="I25" s="528"/>
      <c r="J25" s="284"/>
      <c r="K25" s="25"/>
      <c r="L25" s="79"/>
      <c r="M25" s="25"/>
      <c r="N25" s="80"/>
    </row>
    <row r="26" spans="2:15" ht="31.5" customHeight="1" x14ac:dyDescent="0.25">
      <c r="B26" s="78"/>
      <c r="C26" s="677"/>
      <c r="D26" s="678"/>
      <c r="E26" s="678"/>
      <c r="F26" s="678"/>
      <c r="G26" s="678"/>
      <c r="H26" s="678"/>
      <c r="I26" s="679"/>
      <c r="J26" s="35"/>
      <c r="K26" s="25"/>
      <c r="L26" s="79"/>
      <c r="M26" s="25"/>
      <c r="N26" s="80"/>
    </row>
    <row r="27" spans="2:15" x14ac:dyDescent="0.25">
      <c r="B27" s="78"/>
      <c r="C27" s="523" t="s">
        <v>155</v>
      </c>
      <c r="D27" s="524"/>
      <c r="E27" s="524"/>
      <c r="F27" s="524"/>
      <c r="G27" s="524"/>
      <c r="H27" s="524"/>
      <c r="I27" s="525"/>
      <c r="J27" s="37"/>
      <c r="K27" s="25"/>
      <c r="L27" s="79"/>
      <c r="M27" s="25"/>
      <c r="N27" s="80"/>
    </row>
    <row r="28" spans="2:15" x14ac:dyDescent="0.25">
      <c r="B28" s="78"/>
      <c r="C28" s="675" t="s">
        <v>167</v>
      </c>
      <c r="D28" s="676"/>
      <c r="E28" s="676"/>
      <c r="F28" s="676"/>
      <c r="G28" s="676"/>
      <c r="H28" s="676"/>
      <c r="I28" s="676"/>
      <c r="J28" s="285"/>
      <c r="K28" s="25"/>
      <c r="L28" s="79"/>
      <c r="M28" s="25"/>
      <c r="N28" s="80"/>
    </row>
    <row r="29" spans="2:15" ht="15.75" customHeight="1" x14ac:dyDescent="0.25">
      <c r="B29" s="78"/>
      <c r="C29" s="526" t="s">
        <v>156</v>
      </c>
      <c r="D29" s="527"/>
      <c r="E29" s="527"/>
      <c r="F29" s="527"/>
      <c r="G29" s="527"/>
      <c r="H29" s="527"/>
      <c r="I29" s="528"/>
      <c r="J29" s="35"/>
      <c r="K29" s="25"/>
      <c r="L29" s="79"/>
      <c r="M29" s="25"/>
      <c r="N29" s="80"/>
    </row>
    <row r="30" spans="2:15" ht="12.75" customHeight="1" x14ac:dyDescent="0.25">
      <c r="B30" s="78"/>
      <c r="C30" s="675" t="s">
        <v>157</v>
      </c>
      <c r="D30" s="676"/>
      <c r="E30" s="676"/>
      <c r="F30" s="676"/>
      <c r="G30" s="676"/>
      <c r="H30" s="676"/>
      <c r="I30" s="676"/>
      <c r="J30" s="285"/>
      <c r="K30" s="25"/>
      <c r="L30" s="79"/>
      <c r="M30" s="25"/>
      <c r="N30" s="80"/>
      <c r="O30" s="5"/>
    </row>
    <row r="31" spans="2:15" x14ac:dyDescent="0.25">
      <c r="B31" s="78"/>
      <c r="C31" s="675" t="s">
        <v>158</v>
      </c>
      <c r="D31" s="676"/>
      <c r="E31" s="676"/>
      <c r="F31" s="676"/>
      <c r="G31" s="676"/>
      <c r="H31" s="676"/>
      <c r="I31" s="680"/>
      <c r="J31" s="285"/>
      <c r="K31" s="25"/>
      <c r="L31" s="79"/>
      <c r="M31" s="25"/>
      <c r="N31" s="80"/>
      <c r="O31" s="5"/>
    </row>
    <row r="32" spans="2:15" x14ac:dyDescent="0.25">
      <c r="B32" s="78"/>
      <c r="C32" s="675"/>
      <c r="D32" s="676"/>
      <c r="E32" s="676"/>
      <c r="F32" s="676"/>
      <c r="G32" s="676"/>
      <c r="H32" s="676"/>
      <c r="I32" s="680"/>
      <c r="J32" s="285"/>
      <c r="K32" s="25"/>
      <c r="L32" s="79"/>
      <c r="M32" s="25"/>
      <c r="N32" s="80"/>
    </row>
    <row r="33" spans="2:14" x14ac:dyDescent="0.25">
      <c r="B33" s="78"/>
      <c r="C33" s="675" t="s">
        <v>159</v>
      </c>
      <c r="D33" s="676"/>
      <c r="E33" s="676"/>
      <c r="F33" s="676"/>
      <c r="G33" s="676"/>
      <c r="H33" s="676"/>
      <c r="I33" s="676"/>
      <c r="J33" s="285"/>
      <c r="K33" s="25"/>
      <c r="L33" s="79"/>
      <c r="M33" s="25"/>
      <c r="N33" s="80"/>
    </row>
    <row r="34" spans="2:14" x14ac:dyDescent="0.25">
      <c r="B34" s="78"/>
      <c r="C34" s="620" t="s">
        <v>160</v>
      </c>
      <c r="D34" s="621"/>
      <c r="E34" s="621"/>
      <c r="F34" s="621"/>
      <c r="G34" s="621"/>
      <c r="H34" s="621"/>
      <c r="I34" s="621"/>
      <c r="J34" s="286"/>
      <c r="K34" s="25"/>
      <c r="L34" s="79"/>
      <c r="M34" s="25"/>
      <c r="N34" s="80"/>
    </row>
    <row r="35" spans="2:14" x14ac:dyDescent="0.25">
      <c r="B35" s="78"/>
      <c r="C35" s="526" t="s">
        <v>161</v>
      </c>
      <c r="D35" s="527"/>
      <c r="E35" s="527"/>
      <c r="F35" s="527"/>
      <c r="G35" s="527"/>
      <c r="H35" s="255"/>
      <c r="I35" s="14"/>
      <c r="J35" s="35"/>
      <c r="K35" s="25"/>
      <c r="L35" s="79"/>
      <c r="M35" s="25"/>
      <c r="N35" s="80"/>
    </row>
    <row r="36" spans="2:14" x14ac:dyDescent="0.25">
      <c r="B36" s="78"/>
      <c r="C36" s="681"/>
      <c r="D36" s="682"/>
      <c r="E36" s="682"/>
      <c r="F36" s="682"/>
      <c r="G36" s="682"/>
      <c r="H36" s="682"/>
      <c r="I36" s="683"/>
      <c r="J36" s="35"/>
      <c r="K36" s="25"/>
      <c r="L36" s="79"/>
      <c r="M36" s="25"/>
      <c r="N36" s="80"/>
    </row>
    <row r="37" spans="2:14" x14ac:dyDescent="0.25">
      <c r="B37" s="78"/>
      <c r="C37" s="681"/>
      <c r="D37" s="682"/>
      <c r="E37" s="682"/>
      <c r="F37" s="682"/>
      <c r="G37" s="682"/>
      <c r="H37" s="682"/>
      <c r="I37" s="683"/>
      <c r="J37" s="35"/>
      <c r="K37" s="25"/>
      <c r="L37" s="79"/>
      <c r="M37" s="25"/>
      <c r="N37" s="80"/>
    </row>
    <row r="38" spans="2:14" x14ac:dyDescent="0.25">
      <c r="B38" s="78"/>
      <c r="C38" s="523" t="s">
        <v>162</v>
      </c>
      <c r="D38" s="524"/>
      <c r="E38" s="524"/>
      <c r="F38" s="524"/>
      <c r="G38" s="524"/>
      <c r="H38" s="251"/>
      <c r="I38" s="281"/>
      <c r="J38" s="37"/>
      <c r="K38" s="25"/>
      <c r="L38" s="79"/>
      <c r="M38" s="25"/>
      <c r="N38" s="80"/>
    </row>
    <row r="39" spans="2:14" x14ac:dyDescent="0.25">
      <c r="B39" s="78"/>
      <c r="C39" s="526" t="s">
        <v>163</v>
      </c>
      <c r="D39" s="527"/>
      <c r="E39" s="527"/>
      <c r="F39" s="527"/>
      <c r="G39" s="527"/>
      <c r="H39" s="255"/>
      <c r="I39" s="14"/>
      <c r="J39" s="35"/>
      <c r="K39" s="25"/>
      <c r="L39" s="79"/>
      <c r="M39" s="25"/>
      <c r="N39" s="80"/>
    </row>
    <row r="40" spans="2:14" x14ac:dyDescent="0.25">
      <c r="B40" s="78"/>
      <c r="C40" s="526" t="s">
        <v>164</v>
      </c>
      <c r="D40" s="527"/>
      <c r="E40" s="527"/>
      <c r="F40" s="527"/>
      <c r="G40" s="527"/>
      <c r="H40" s="255"/>
      <c r="I40" s="14"/>
      <c r="J40" s="35"/>
      <c r="K40" s="25"/>
      <c r="L40" s="79"/>
      <c r="M40" s="25"/>
      <c r="N40" s="80"/>
    </row>
    <row r="41" spans="2:14" x14ac:dyDescent="0.25">
      <c r="B41" s="78"/>
      <c r="C41" s="526" t="s">
        <v>168</v>
      </c>
      <c r="D41" s="527"/>
      <c r="E41" s="527"/>
      <c r="F41" s="527"/>
      <c r="G41" s="527"/>
      <c r="H41" s="527"/>
      <c r="I41" s="528"/>
      <c r="J41" s="35"/>
      <c r="K41" s="25"/>
      <c r="L41" s="79"/>
      <c r="M41" s="25"/>
      <c r="N41" s="80"/>
    </row>
    <row r="42" spans="2:14" ht="20.25" customHeight="1" x14ac:dyDescent="0.25">
      <c r="B42" s="78"/>
      <c r="C42" s="526"/>
      <c r="D42" s="527"/>
      <c r="E42" s="527"/>
      <c r="F42" s="527"/>
      <c r="G42" s="527"/>
      <c r="H42" s="527"/>
      <c r="I42" s="528"/>
      <c r="J42" s="35"/>
      <c r="K42" s="25"/>
      <c r="L42" s="79"/>
      <c r="M42" s="25"/>
      <c r="N42" s="80"/>
    </row>
    <row r="43" spans="2:14" x14ac:dyDescent="0.25">
      <c r="B43" s="78"/>
      <c r="C43" s="288"/>
      <c r="D43" s="289"/>
      <c r="E43" s="289"/>
      <c r="F43" s="289"/>
      <c r="G43" s="289"/>
      <c r="H43" s="289"/>
      <c r="I43" s="289"/>
      <c r="J43" s="35"/>
      <c r="K43" s="25"/>
      <c r="L43" s="79"/>
      <c r="M43" s="25"/>
      <c r="N43" s="80"/>
    </row>
    <row r="44" spans="2:14" x14ac:dyDescent="0.25">
      <c r="B44" s="78"/>
      <c r="C44" s="288"/>
      <c r="D44" s="289"/>
      <c r="E44" s="289"/>
      <c r="F44" s="289"/>
      <c r="G44" s="289"/>
      <c r="H44" s="289"/>
      <c r="I44" s="289"/>
      <c r="J44" s="35"/>
      <c r="K44" s="25"/>
      <c r="L44" s="79"/>
      <c r="M44" s="25"/>
      <c r="N44" s="80"/>
    </row>
    <row r="45" spans="2:14" x14ac:dyDescent="0.25">
      <c r="B45" s="78"/>
      <c r="C45" s="523" t="s">
        <v>8</v>
      </c>
      <c r="D45" s="524"/>
      <c r="E45" s="524"/>
      <c r="F45" s="524"/>
      <c r="G45" s="524"/>
      <c r="H45" s="251"/>
      <c r="I45" s="281"/>
      <c r="J45" s="37"/>
      <c r="K45" s="25"/>
      <c r="L45" s="79"/>
      <c r="M45" s="25"/>
      <c r="N45" s="80"/>
    </row>
    <row r="46" spans="2:14" x14ac:dyDescent="0.25">
      <c r="B46" s="78"/>
      <c r="C46" s="526" t="s">
        <v>7</v>
      </c>
      <c r="D46" s="527"/>
      <c r="E46" s="527"/>
      <c r="F46" s="527"/>
      <c r="G46" s="527"/>
      <c r="H46" s="255"/>
      <c r="I46" s="14"/>
      <c r="J46" s="35"/>
      <c r="K46" s="25"/>
      <c r="L46" s="79"/>
      <c r="M46" s="25"/>
      <c r="N46" s="80"/>
    </row>
    <row r="47" spans="2:14" x14ac:dyDescent="0.25">
      <c r="B47" s="83"/>
      <c r="C47" s="475"/>
      <c r="D47" s="518"/>
      <c r="E47" s="518"/>
      <c r="F47" s="518"/>
      <c r="G47" s="518"/>
      <c r="H47" s="253"/>
      <c r="I47" s="287"/>
      <c r="J47" s="84"/>
      <c r="K47" s="22"/>
      <c r="L47" s="85" t="s">
        <v>6</v>
      </c>
      <c r="M47" s="86" t="s">
        <v>5</v>
      </c>
      <c r="N47" s="87">
        <f>SUM(N16:N45)</f>
        <v>30000</v>
      </c>
    </row>
    <row r="48" spans="2:14" ht="33.75" customHeight="1" x14ac:dyDescent="0.25">
      <c r="B48" s="88" t="s">
        <v>4</v>
      </c>
      <c r="C48" s="557" t="s">
        <v>303</v>
      </c>
      <c r="D48" s="558"/>
      <c r="E48" s="558"/>
      <c r="F48" s="558"/>
      <c r="G48" s="558"/>
      <c r="H48" s="558"/>
      <c r="I48" s="558"/>
      <c r="J48" s="558"/>
      <c r="K48" s="558"/>
      <c r="L48" s="558"/>
      <c r="M48" s="558"/>
      <c r="N48" s="684"/>
    </row>
    <row r="49" spans="2:14" x14ac:dyDescent="0.25">
      <c r="B49" s="73"/>
      <c r="C49" s="445"/>
      <c r="D49" s="444"/>
      <c r="E49" s="444"/>
      <c r="F49" s="444"/>
      <c r="G49" s="444"/>
      <c r="H49" s="444"/>
      <c r="I49" s="446"/>
      <c r="J49" s="441" t="s">
        <v>3</v>
      </c>
      <c r="K49" s="442"/>
      <c r="L49" s="442"/>
      <c r="M49" s="442"/>
      <c r="N49" s="443"/>
    </row>
    <row r="50" spans="2:14" ht="29.25" customHeight="1" x14ac:dyDescent="0.25">
      <c r="B50" s="78" t="s">
        <v>2</v>
      </c>
      <c r="C50" s="507"/>
      <c r="D50" s="508"/>
      <c r="E50" s="508"/>
      <c r="F50" s="508"/>
      <c r="G50" s="508"/>
      <c r="H50" s="508"/>
      <c r="I50" s="509"/>
      <c r="J50" s="445"/>
      <c r="K50" s="444"/>
      <c r="L50" s="444"/>
      <c r="M50" s="444"/>
      <c r="N50" s="444"/>
    </row>
    <row r="51" spans="2:14" x14ac:dyDescent="0.25">
      <c r="B51" s="78" t="s">
        <v>1</v>
      </c>
      <c r="C51" s="513" t="s">
        <v>302</v>
      </c>
      <c r="D51" s="440"/>
      <c r="E51" s="440"/>
      <c r="F51" s="440"/>
      <c r="G51" s="440"/>
      <c r="H51" s="440"/>
      <c r="I51" s="514"/>
      <c r="J51" s="441" t="s">
        <v>272</v>
      </c>
      <c r="K51" s="442"/>
      <c r="L51" s="442"/>
      <c r="M51" s="442"/>
      <c r="N51" s="443"/>
    </row>
    <row r="52" spans="2:14" x14ac:dyDescent="0.25">
      <c r="B52" s="83" t="s">
        <v>0</v>
      </c>
      <c r="C52" s="507" t="s">
        <v>217</v>
      </c>
      <c r="D52" s="508"/>
      <c r="E52" s="508"/>
      <c r="F52" s="508"/>
      <c r="G52" s="508"/>
      <c r="H52" s="508"/>
      <c r="I52" s="509"/>
      <c r="J52" s="445" t="s">
        <v>32</v>
      </c>
      <c r="K52" s="444"/>
      <c r="L52" s="444"/>
      <c r="M52" s="444"/>
      <c r="N52" s="446"/>
    </row>
  </sheetData>
  <mergeCells count="48">
    <mergeCell ref="C16:G16"/>
    <mergeCell ref="B1:N1"/>
    <mergeCell ref="B2:N2"/>
    <mergeCell ref="B3:N3"/>
    <mergeCell ref="C7:I7"/>
    <mergeCell ref="M7:N7"/>
    <mergeCell ref="C9:I10"/>
    <mergeCell ref="C11:G11"/>
    <mergeCell ref="C12:G12"/>
    <mergeCell ref="C13:I13"/>
    <mergeCell ref="C14:I14"/>
    <mergeCell ref="C15:G15"/>
    <mergeCell ref="C29:I29"/>
    <mergeCell ref="G17:H17"/>
    <mergeCell ref="G18:H18"/>
    <mergeCell ref="C19:I19"/>
    <mergeCell ref="C20:I20"/>
    <mergeCell ref="C21:I21"/>
    <mergeCell ref="C22:I22"/>
    <mergeCell ref="C23:I23"/>
    <mergeCell ref="C24:I25"/>
    <mergeCell ref="C26:I26"/>
    <mergeCell ref="C27:I27"/>
    <mergeCell ref="C28:I28"/>
    <mergeCell ref="C42:I42"/>
    <mergeCell ref="C30:I30"/>
    <mergeCell ref="C31:I32"/>
    <mergeCell ref="C33:I33"/>
    <mergeCell ref="C34:I34"/>
    <mergeCell ref="C35:G35"/>
    <mergeCell ref="C36:I36"/>
    <mergeCell ref="C37:I37"/>
    <mergeCell ref="C38:G38"/>
    <mergeCell ref="C39:G39"/>
    <mergeCell ref="C40:G40"/>
    <mergeCell ref="C41:I41"/>
    <mergeCell ref="C45:G45"/>
    <mergeCell ref="C46:G46"/>
    <mergeCell ref="C47:G47"/>
    <mergeCell ref="C48:N48"/>
    <mergeCell ref="C49:I49"/>
    <mergeCell ref="J49:N49"/>
    <mergeCell ref="C50:I50"/>
    <mergeCell ref="J50:N50"/>
    <mergeCell ref="C51:I51"/>
    <mergeCell ref="J51:N51"/>
    <mergeCell ref="C52:I52"/>
    <mergeCell ref="J52:N52"/>
  </mergeCells>
  <printOptions horizontalCentered="1"/>
  <pageMargins left="0.25" right="0.25" top="0.75" bottom="0.75" header="0.3" footer="0.3"/>
  <pageSetup paperSize="9" scale="53"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B1:R47"/>
  <sheetViews>
    <sheetView view="pageBreakPreview" topLeftCell="A3" zoomScale="70" zoomScaleNormal="100" zoomScaleSheetLayoutView="70" workbookViewId="0">
      <selection activeCell="G16" sqref="G16"/>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ht="18" x14ac:dyDescent="0.25">
      <c r="B3" s="685" t="s">
        <v>27</v>
      </c>
      <c r="C3" s="423"/>
      <c r="D3" s="423"/>
      <c r="E3" s="423"/>
      <c r="F3" s="423"/>
      <c r="G3" s="423"/>
      <c r="H3" s="423"/>
      <c r="I3" s="423"/>
      <c r="J3" s="423"/>
      <c r="K3" s="423"/>
      <c r="L3" s="423"/>
      <c r="M3" s="423"/>
      <c r="N3" s="686"/>
      <c r="O3" s="32"/>
      <c r="P3" s="32"/>
      <c r="Q3" s="32"/>
      <c r="R3" s="32"/>
    </row>
    <row r="4" spans="2:18" ht="72" customHeight="1" x14ac:dyDescent="0.25">
      <c r="B4" s="575" t="s">
        <v>165</v>
      </c>
      <c r="C4" s="576"/>
      <c r="D4" s="576"/>
      <c r="E4" s="576"/>
      <c r="F4" s="576"/>
      <c r="G4" s="576"/>
      <c r="H4" s="576"/>
      <c r="I4" s="576"/>
      <c r="J4" s="576"/>
      <c r="K4" s="576"/>
      <c r="L4" s="576"/>
      <c r="M4" s="576"/>
      <c r="N4" s="577"/>
      <c r="O4" s="32"/>
      <c r="P4" s="32"/>
      <c r="Q4" s="32"/>
      <c r="R4" s="32"/>
    </row>
    <row r="5" spans="2:18" x14ac:dyDescent="0.25">
      <c r="B5" s="209"/>
      <c r="C5" s="74"/>
      <c r="D5" s="74"/>
      <c r="E5" s="74"/>
      <c r="F5" s="74"/>
      <c r="G5" s="74"/>
      <c r="H5" s="74"/>
      <c r="I5" s="75"/>
      <c r="J5" s="75"/>
      <c r="K5" s="29" t="s">
        <v>128</v>
      </c>
      <c r="L5" s="28"/>
      <c r="M5" s="29"/>
      <c r="N5" s="264" t="s">
        <v>129</v>
      </c>
    </row>
    <row r="6" spans="2:18" x14ac:dyDescent="0.25">
      <c r="B6" s="177" t="s">
        <v>26</v>
      </c>
      <c r="C6" s="32" t="s">
        <v>30</v>
      </c>
      <c r="D6" s="32"/>
      <c r="E6" s="32"/>
      <c r="F6" s="32"/>
      <c r="G6" s="32"/>
      <c r="H6" s="32"/>
      <c r="I6" s="32"/>
      <c r="J6" s="14"/>
      <c r="K6" s="24" t="s">
        <v>25</v>
      </c>
      <c r="L6" s="76"/>
      <c r="M6" s="24"/>
      <c r="N6" s="265" t="s">
        <v>22</v>
      </c>
    </row>
    <row r="7" spans="2:18" x14ac:dyDescent="0.25">
      <c r="B7" s="179" t="s">
        <v>24</v>
      </c>
      <c r="C7" s="72" t="s">
        <v>47</v>
      </c>
      <c r="D7" s="71"/>
      <c r="E7" s="71"/>
      <c r="F7" s="71"/>
      <c r="G7" s="71"/>
      <c r="H7" s="71"/>
      <c r="I7" s="72"/>
      <c r="J7" s="21"/>
      <c r="K7" s="20" t="s">
        <v>23</v>
      </c>
      <c r="L7" s="77"/>
      <c r="M7" s="20"/>
      <c r="N7" s="266" t="s">
        <v>22</v>
      </c>
    </row>
    <row r="8" spans="2:18" ht="39" customHeight="1" x14ac:dyDescent="0.25">
      <c r="B8" s="267" t="s">
        <v>29</v>
      </c>
      <c r="C8" s="500" t="s">
        <v>19</v>
      </c>
      <c r="D8" s="501"/>
      <c r="E8" s="501"/>
      <c r="F8" s="501"/>
      <c r="G8" s="501"/>
      <c r="H8" s="501"/>
      <c r="I8" s="502"/>
      <c r="J8" s="249" t="s">
        <v>21</v>
      </c>
      <c r="K8" s="249" t="s">
        <v>20</v>
      </c>
      <c r="L8" s="18" t="s">
        <v>18</v>
      </c>
      <c r="M8" s="643" t="s">
        <v>17</v>
      </c>
      <c r="N8" s="673"/>
    </row>
    <row r="9" spans="2:18" x14ac:dyDescent="0.25">
      <c r="B9" s="268"/>
      <c r="C9" s="91"/>
      <c r="D9" s="92"/>
      <c r="E9" s="92"/>
      <c r="F9" s="92"/>
      <c r="G9" s="92"/>
      <c r="H9" s="92"/>
      <c r="I9" s="93"/>
      <c r="J9" s="33"/>
      <c r="K9" s="16"/>
      <c r="L9" s="17"/>
      <c r="M9" s="16"/>
      <c r="N9" s="269"/>
    </row>
    <row r="10" spans="2:18" ht="15.75" customHeight="1" x14ac:dyDescent="0.25">
      <c r="B10" s="177"/>
      <c r="C10" s="523" t="s">
        <v>207</v>
      </c>
      <c r="D10" s="524"/>
      <c r="E10" s="524"/>
      <c r="F10" s="524"/>
      <c r="G10" s="524"/>
      <c r="H10" s="524"/>
      <c r="I10" s="525"/>
      <c r="J10" s="34"/>
      <c r="K10" s="25"/>
      <c r="L10" s="79"/>
      <c r="M10" s="25"/>
      <c r="N10" s="270"/>
    </row>
    <row r="11" spans="2:18" ht="27.75" customHeight="1" x14ac:dyDescent="0.25">
      <c r="B11" s="177"/>
      <c r="C11" s="523"/>
      <c r="D11" s="524"/>
      <c r="E11" s="524"/>
      <c r="F11" s="524"/>
      <c r="G11" s="524"/>
      <c r="H11" s="524"/>
      <c r="I11" s="525"/>
      <c r="J11" s="34"/>
      <c r="K11" s="25"/>
      <c r="L11" s="79"/>
      <c r="M11" s="25"/>
      <c r="N11" s="270"/>
    </row>
    <row r="12" spans="2:18" x14ac:dyDescent="0.25">
      <c r="B12" s="177"/>
      <c r="C12" s="526"/>
      <c r="D12" s="527"/>
      <c r="E12" s="527"/>
      <c r="F12" s="527"/>
      <c r="G12" s="527"/>
      <c r="H12" s="255"/>
      <c r="I12" s="252"/>
      <c r="J12" s="35"/>
      <c r="K12" s="25"/>
      <c r="L12" s="79"/>
      <c r="M12" s="25"/>
      <c r="N12" s="270"/>
    </row>
    <row r="13" spans="2:18" x14ac:dyDescent="0.25">
      <c r="B13" s="177"/>
      <c r="C13" s="561" t="s">
        <v>130</v>
      </c>
      <c r="D13" s="527"/>
      <c r="E13" s="527"/>
      <c r="F13" s="527"/>
      <c r="G13" s="527"/>
      <c r="H13" s="255"/>
      <c r="I13" s="255"/>
      <c r="J13" s="35"/>
      <c r="K13" s="25"/>
      <c r="L13" s="79"/>
      <c r="M13" s="25"/>
      <c r="N13" s="270"/>
    </row>
    <row r="14" spans="2:18" x14ac:dyDescent="0.25">
      <c r="B14" s="177"/>
      <c r="C14" s="526" t="s">
        <v>131</v>
      </c>
      <c r="D14" s="527"/>
      <c r="E14" s="527"/>
      <c r="F14" s="527"/>
      <c r="G14" s="527"/>
      <c r="H14" s="255"/>
      <c r="I14" s="255"/>
      <c r="J14" s="35"/>
      <c r="K14" s="25"/>
      <c r="L14" s="79"/>
      <c r="M14" s="25"/>
      <c r="N14" s="270"/>
    </row>
    <row r="15" spans="2:18" x14ac:dyDescent="0.25">
      <c r="B15" s="177"/>
      <c r="C15" s="438" t="s">
        <v>137</v>
      </c>
      <c r="D15" s="564"/>
      <c r="E15" s="564"/>
      <c r="F15" s="564"/>
      <c r="G15" s="564"/>
      <c r="H15" s="564"/>
      <c r="I15" s="439"/>
      <c r="J15" s="35"/>
      <c r="K15" s="25"/>
      <c r="L15" s="79"/>
      <c r="M15" s="25"/>
      <c r="N15" s="270"/>
    </row>
    <row r="16" spans="2:18" x14ac:dyDescent="0.25">
      <c r="B16" s="177"/>
      <c r="C16" s="254"/>
      <c r="D16" s="255"/>
      <c r="E16" s="255"/>
      <c r="F16" s="255"/>
      <c r="G16" s="255"/>
      <c r="H16" s="255"/>
      <c r="I16" s="252"/>
      <c r="J16" s="35"/>
      <c r="K16" s="25"/>
      <c r="L16" s="79"/>
      <c r="M16" s="25"/>
      <c r="N16" s="270"/>
    </row>
    <row r="17" spans="2:14" ht="15.6" customHeight="1" x14ac:dyDescent="0.25">
      <c r="B17" s="177"/>
      <c r="C17" s="565" t="s">
        <v>16</v>
      </c>
      <c r="D17" s="566"/>
      <c r="E17" s="566"/>
      <c r="F17" s="566"/>
      <c r="G17" s="566"/>
      <c r="H17" s="251"/>
      <c r="I17" s="94"/>
      <c r="J17" s="37"/>
      <c r="K17" s="25"/>
      <c r="L17" s="79"/>
      <c r="M17" s="25"/>
      <c r="N17" s="270"/>
    </row>
    <row r="18" spans="2:14" ht="31.5" x14ac:dyDescent="0.25">
      <c r="B18" s="177"/>
      <c r="C18" s="256" t="s">
        <v>15</v>
      </c>
      <c r="D18" s="256" t="s">
        <v>14</v>
      </c>
      <c r="E18" s="256" t="s">
        <v>13</v>
      </c>
      <c r="F18" s="256" t="s">
        <v>12</v>
      </c>
      <c r="G18" s="469" t="s">
        <v>11</v>
      </c>
      <c r="H18" s="469"/>
      <c r="I18" s="60" t="s">
        <v>10</v>
      </c>
      <c r="J18" s="36"/>
      <c r="K18" s="25"/>
      <c r="L18" s="79"/>
      <c r="M18" s="25"/>
      <c r="N18" s="270"/>
    </row>
    <row r="19" spans="2:14" ht="42" customHeight="1" x14ac:dyDescent="0.25">
      <c r="B19" s="177"/>
      <c r="C19" s="212">
        <v>33</v>
      </c>
      <c r="D19" s="220" t="s">
        <v>51</v>
      </c>
      <c r="E19" s="220" t="s">
        <v>132</v>
      </c>
      <c r="F19" s="150" t="s">
        <v>138</v>
      </c>
      <c r="G19" s="506" t="s">
        <v>80</v>
      </c>
      <c r="H19" s="506"/>
      <c r="I19" s="597" t="s">
        <v>140</v>
      </c>
      <c r="J19" s="219">
        <v>33</v>
      </c>
      <c r="K19" s="90" t="s">
        <v>55</v>
      </c>
      <c r="L19" s="81">
        <v>100</v>
      </c>
      <c r="M19" s="90"/>
      <c r="N19" s="271">
        <f>L19*J19*2</f>
        <v>6600</v>
      </c>
    </row>
    <row r="20" spans="2:14" ht="62.25" customHeight="1" x14ac:dyDescent="0.25">
      <c r="B20" s="177"/>
      <c r="C20" s="212">
        <v>33</v>
      </c>
      <c r="D20" s="220" t="s">
        <v>9</v>
      </c>
      <c r="E20" s="220" t="s">
        <v>132</v>
      </c>
      <c r="F20" s="150" t="s">
        <v>138</v>
      </c>
      <c r="G20" s="506" t="s">
        <v>79</v>
      </c>
      <c r="H20" s="506"/>
      <c r="I20" s="597"/>
      <c r="J20" s="219">
        <v>33</v>
      </c>
      <c r="K20" s="90" t="s">
        <v>55</v>
      </c>
      <c r="L20" s="81">
        <v>250</v>
      </c>
      <c r="M20" s="90"/>
      <c r="N20" s="271">
        <f t="shared" ref="N20:N21" si="0">L20*J20*2</f>
        <v>16500</v>
      </c>
    </row>
    <row r="21" spans="2:14" ht="51.75" customHeight="1" x14ac:dyDescent="0.25">
      <c r="B21" s="177"/>
      <c r="C21" s="212">
        <v>33</v>
      </c>
      <c r="D21" s="220" t="s">
        <v>133</v>
      </c>
      <c r="E21" s="220" t="s">
        <v>132</v>
      </c>
      <c r="F21" s="150" t="s">
        <v>138</v>
      </c>
      <c r="G21" s="506" t="s">
        <v>96</v>
      </c>
      <c r="H21" s="506"/>
      <c r="I21" s="598"/>
      <c r="J21" s="219">
        <v>33</v>
      </c>
      <c r="K21" s="90" t="s">
        <v>55</v>
      </c>
      <c r="L21" s="98">
        <v>100</v>
      </c>
      <c r="M21" s="90"/>
      <c r="N21" s="271">
        <f t="shared" si="0"/>
        <v>6600</v>
      </c>
    </row>
    <row r="22" spans="2:14" ht="15.75" customHeight="1" x14ac:dyDescent="0.25">
      <c r="B22" s="177"/>
      <c r="C22" s="523"/>
      <c r="D22" s="524"/>
      <c r="E22" s="524"/>
      <c r="F22" s="524"/>
      <c r="G22" s="524"/>
      <c r="H22" s="524"/>
      <c r="I22" s="525"/>
      <c r="J22" s="257"/>
      <c r="K22" s="25"/>
      <c r="L22" s="79"/>
      <c r="M22" s="25"/>
      <c r="N22" s="270"/>
    </row>
    <row r="23" spans="2:14" ht="15.75" customHeight="1" x14ac:dyDescent="0.25">
      <c r="B23" s="177"/>
      <c r="C23" s="561" t="s">
        <v>82</v>
      </c>
      <c r="D23" s="562"/>
      <c r="E23" s="562"/>
      <c r="F23" s="562"/>
      <c r="G23" s="562"/>
      <c r="H23" s="562"/>
      <c r="I23" s="563"/>
      <c r="J23" s="257"/>
      <c r="K23" s="25"/>
      <c r="L23" s="79"/>
      <c r="M23" s="25"/>
      <c r="N23" s="270"/>
    </row>
    <row r="24" spans="2:14" ht="21" customHeight="1" x14ac:dyDescent="0.25">
      <c r="B24" s="177"/>
      <c r="C24" s="250"/>
      <c r="D24" s="669"/>
      <c r="E24" s="669"/>
      <c r="F24" s="669"/>
      <c r="G24" s="669"/>
      <c r="H24" s="669"/>
      <c r="I24" s="670"/>
      <c r="J24" s="257"/>
      <c r="K24" s="25"/>
      <c r="L24" s="79"/>
      <c r="M24" s="25"/>
      <c r="N24" s="272"/>
    </row>
    <row r="25" spans="2:14" ht="15.75" customHeight="1" x14ac:dyDescent="0.25">
      <c r="B25" s="177"/>
      <c r="C25" s="250"/>
      <c r="D25" s="251"/>
      <c r="E25" s="251"/>
      <c r="F25" s="251"/>
      <c r="G25" s="251"/>
      <c r="H25" s="251"/>
      <c r="I25" s="116"/>
      <c r="J25" s="257"/>
      <c r="K25" s="25"/>
      <c r="L25" s="79"/>
      <c r="M25" s="25"/>
      <c r="N25" s="270"/>
    </row>
    <row r="26" spans="2:14" ht="15.75" customHeight="1" x14ac:dyDescent="0.25">
      <c r="B26" s="177"/>
      <c r="C26" s="95" t="s">
        <v>134</v>
      </c>
      <c r="D26" s="251"/>
      <c r="E26" s="251"/>
      <c r="F26" s="251"/>
      <c r="G26" s="251"/>
      <c r="H26" s="251"/>
      <c r="I26" s="116"/>
      <c r="J26" s="257"/>
      <c r="K26" s="25"/>
      <c r="L26" s="79"/>
      <c r="M26" s="25"/>
      <c r="N26" s="272"/>
    </row>
    <row r="27" spans="2:14" ht="15.75" customHeight="1" x14ac:dyDescent="0.25">
      <c r="B27" s="177"/>
      <c r="C27" s="95" t="s">
        <v>139</v>
      </c>
      <c r="D27" s="251"/>
      <c r="E27" s="251"/>
      <c r="F27" s="251"/>
      <c r="G27" s="251"/>
      <c r="H27" s="251"/>
      <c r="I27" s="116"/>
      <c r="J27" s="257"/>
      <c r="K27" s="25"/>
      <c r="L27" s="79"/>
      <c r="M27" s="25"/>
      <c r="N27" s="270"/>
    </row>
    <row r="28" spans="2:14" ht="15.75" customHeight="1" x14ac:dyDescent="0.25">
      <c r="B28" s="177"/>
      <c r="C28" s="95"/>
      <c r="D28" s="251"/>
      <c r="E28" s="251"/>
      <c r="F28" s="251"/>
      <c r="G28" s="251"/>
      <c r="H28" s="251"/>
      <c r="I28" s="116"/>
      <c r="J28" s="257"/>
      <c r="K28" s="25"/>
      <c r="L28" s="79"/>
      <c r="M28" s="25"/>
      <c r="N28" s="270"/>
    </row>
    <row r="29" spans="2:14" ht="15.75" customHeight="1" x14ac:dyDescent="0.25">
      <c r="B29" s="177"/>
      <c r="C29" s="96" t="s">
        <v>33</v>
      </c>
      <c r="D29" s="251"/>
      <c r="E29" s="251"/>
      <c r="F29" s="251"/>
      <c r="G29" s="251"/>
      <c r="H29" s="251"/>
      <c r="I29" s="116"/>
      <c r="J29" s="257"/>
      <c r="K29" s="25"/>
      <c r="L29" s="79"/>
      <c r="M29" s="25"/>
      <c r="N29" s="270"/>
    </row>
    <row r="30" spans="2:14" ht="15.75" customHeight="1" x14ac:dyDescent="0.25">
      <c r="B30" s="177"/>
      <c r="C30" s="95" t="s">
        <v>34</v>
      </c>
      <c r="D30" s="251"/>
      <c r="E30" s="251"/>
      <c r="F30" s="251"/>
      <c r="G30" s="251"/>
      <c r="H30" s="251"/>
      <c r="I30" s="116"/>
      <c r="J30" s="257"/>
      <c r="K30" s="25"/>
      <c r="L30" s="79"/>
      <c r="M30" s="25"/>
      <c r="N30" s="270"/>
    </row>
    <row r="31" spans="2:14" ht="15.75" customHeight="1" x14ac:dyDescent="0.25">
      <c r="B31" s="177"/>
      <c r="C31" s="95" t="s">
        <v>35</v>
      </c>
      <c r="D31" s="251"/>
      <c r="E31" s="251"/>
      <c r="F31" s="251"/>
      <c r="G31" s="251"/>
      <c r="H31" s="251"/>
      <c r="I31" s="116"/>
      <c r="J31" s="257"/>
      <c r="K31" s="25"/>
      <c r="L31" s="79"/>
      <c r="M31" s="25"/>
      <c r="N31" s="270"/>
    </row>
    <row r="32" spans="2:14" ht="15.75" customHeight="1" x14ac:dyDescent="0.25">
      <c r="B32" s="177"/>
      <c r="C32" s="95"/>
      <c r="D32" s="251" t="s">
        <v>50</v>
      </c>
      <c r="E32" s="251"/>
      <c r="F32" s="251"/>
      <c r="G32" s="251"/>
      <c r="H32" s="251"/>
      <c r="I32" s="116"/>
      <c r="J32" s="257"/>
      <c r="K32" s="25"/>
      <c r="L32" s="79"/>
      <c r="M32" s="25"/>
      <c r="N32" s="270"/>
    </row>
    <row r="33" spans="2:15" ht="15.75" customHeight="1" x14ac:dyDescent="0.25">
      <c r="B33" s="177"/>
      <c r="C33" s="96" t="s">
        <v>36</v>
      </c>
      <c r="D33" s="251"/>
      <c r="E33" s="251"/>
      <c r="F33" s="251"/>
      <c r="G33" s="251"/>
      <c r="H33" s="251"/>
      <c r="I33" s="116"/>
      <c r="J33" s="257"/>
      <c r="K33" s="25"/>
      <c r="L33" s="79"/>
      <c r="M33" s="25"/>
      <c r="N33" s="270"/>
    </row>
    <row r="34" spans="2:15" ht="15.75" customHeight="1" x14ac:dyDescent="0.25">
      <c r="B34" s="177"/>
      <c r="C34" s="95" t="s">
        <v>37</v>
      </c>
      <c r="D34" s="251"/>
      <c r="E34" s="251"/>
      <c r="F34" s="251"/>
      <c r="G34" s="251"/>
      <c r="H34" s="251"/>
      <c r="I34" s="116"/>
      <c r="J34" s="257"/>
      <c r="K34" s="25"/>
      <c r="L34" s="79"/>
      <c r="M34" s="25"/>
      <c r="N34" s="270"/>
    </row>
    <row r="35" spans="2:15" ht="15.75" customHeight="1" x14ac:dyDescent="0.25">
      <c r="B35" s="177"/>
      <c r="C35" s="95" t="s">
        <v>44</v>
      </c>
      <c r="D35" s="251"/>
      <c r="E35" s="251"/>
      <c r="F35" s="251"/>
      <c r="G35" s="251"/>
      <c r="H35" s="251"/>
      <c r="I35" s="116"/>
      <c r="J35" s="257"/>
      <c r="K35" s="25"/>
      <c r="L35" s="79"/>
      <c r="M35" s="25"/>
      <c r="N35" s="270"/>
    </row>
    <row r="36" spans="2:15" ht="15.75" customHeight="1" x14ac:dyDescent="0.25">
      <c r="B36" s="177"/>
      <c r="C36" s="95"/>
      <c r="D36" s="251"/>
      <c r="E36" s="251"/>
      <c r="F36" s="251"/>
      <c r="G36" s="251"/>
      <c r="H36" s="251"/>
      <c r="I36" s="116"/>
      <c r="J36" s="257"/>
      <c r="K36" s="25"/>
      <c r="L36" s="79"/>
      <c r="M36" s="25"/>
      <c r="N36" s="270"/>
    </row>
    <row r="37" spans="2:15" ht="15.75" customHeight="1" x14ac:dyDescent="0.25">
      <c r="B37" s="177"/>
      <c r="C37" s="250"/>
      <c r="D37" s="251"/>
      <c r="E37" s="251"/>
      <c r="F37" s="251"/>
      <c r="G37" s="251"/>
      <c r="H37" s="251"/>
      <c r="I37" s="116"/>
      <c r="J37" s="257"/>
      <c r="K37" s="25"/>
      <c r="L37" s="79"/>
      <c r="M37" s="25"/>
      <c r="N37" s="270"/>
    </row>
    <row r="38" spans="2:15" ht="15.75" customHeight="1" x14ac:dyDescent="0.25">
      <c r="B38" s="177"/>
      <c r="C38" s="99" t="s">
        <v>8</v>
      </c>
      <c r="D38" s="251"/>
      <c r="E38" s="251"/>
      <c r="F38" s="251"/>
      <c r="G38" s="251"/>
      <c r="H38" s="251"/>
      <c r="I38" s="94"/>
      <c r="J38" s="37"/>
      <c r="K38" s="25"/>
      <c r="L38" s="79"/>
      <c r="M38" s="25"/>
      <c r="N38" s="270"/>
    </row>
    <row r="39" spans="2:15" ht="15.6" customHeight="1" x14ac:dyDescent="0.25">
      <c r="B39" s="179"/>
      <c r="C39" s="22" t="s">
        <v>38</v>
      </c>
      <c r="D39" s="253"/>
      <c r="E39" s="253"/>
      <c r="F39" s="253"/>
      <c r="G39" s="253"/>
      <c r="H39" s="253"/>
      <c r="I39" s="97"/>
      <c r="J39" s="84"/>
      <c r="K39" s="22"/>
      <c r="L39" s="156"/>
      <c r="M39" s="22"/>
      <c r="N39" s="273"/>
    </row>
    <row r="40" spans="2:15" x14ac:dyDescent="0.25">
      <c r="B40" s="179"/>
      <c r="C40" s="475"/>
      <c r="D40" s="518"/>
      <c r="E40" s="518"/>
      <c r="F40" s="518"/>
      <c r="G40" s="518"/>
      <c r="H40" s="253"/>
      <c r="I40" s="97"/>
      <c r="J40" s="84"/>
      <c r="K40" s="22"/>
      <c r="L40" s="85" t="s">
        <v>6</v>
      </c>
      <c r="M40" s="86" t="s">
        <v>5</v>
      </c>
      <c r="N40" s="274">
        <f>SUM(N19:N22)</f>
        <v>29700</v>
      </c>
    </row>
    <row r="41" spans="2:15" ht="31.5" customHeight="1" x14ac:dyDescent="0.25">
      <c r="B41" s="275" t="s">
        <v>4</v>
      </c>
      <c r="C41" s="557" t="s">
        <v>141</v>
      </c>
      <c r="D41" s="558"/>
      <c r="E41" s="558"/>
      <c r="F41" s="558"/>
      <c r="G41" s="558"/>
      <c r="H41" s="558"/>
      <c r="I41" s="558"/>
      <c r="J41" s="558"/>
      <c r="K41" s="558"/>
      <c r="L41" s="558"/>
      <c r="M41" s="558"/>
      <c r="N41" s="559"/>
    </row>
    <row r="42" spans="2:15" x14ac:dyDescent="0.25">
      <c r="B42" s="209"/>
      <c r="C42" s="445"/>
      <c r="D42" s="444"/>
      <c r="E42" s="444"/>
      <c r="F42" s="444"/>
      <c r="G42" s="444"/>
      <c r="H42" s="444"/>
      <c r="I42" s="446"/>
      <c r="J42" s="441" t="s">
        <v>3</v>
      </c>
      <c r="K42" s="442"/>
      <c r="L42" s="442"/>
      <c r="M42" s="442"/>
      <c r="N42" s="550"/>
    </row>
    <row r="43" spans="2:15" x14ac:dyDescent="0.25">
      <c r="B43" s="210" t="s">
        <v>2</v>
      </c>
      <c r="C43" s="507"/>
      <c r="D43" s="508"/>
      <c r="E43" s="508"/>
      <c r="F43" s="508"/>
      <c r="G43" s="508"/>
      <c r="H43" s="508"/>
      <c r="I43" s="509"/>
      <c r="J43" s="445"/>
      <c r="K43" s="444"/>
      <c r="L43" s="444"/>
      <c r="M43" s="444"/>
      <c r="N43" s="560"/>
    </row>
    <row r="44" spans="2:15" ht="15.75" customHeight="1" x14ac:dyDescent="0.25">
      <c r="B44" s="210" t="s">
        <v>1</v>
      </c>
      <c r="C44" s="513" t="s">
        <v>48</v>
      </c>
      <c r="D44" s="440"/>
      <c r="E44" s="440"/>
      <c r="F44" s="440"/>
      <c r="G44" s="440"/>
      <c r="H44" s="440"/>
      <c r="I44" s="514"/>
      <c r="J44" s="441" t="s">
        <v>31</v>
      </c>
      <c r="K44" s="442"/>
      <c r="L44" s="442"/>
      <c r="M44" s="442"/>
      <c r="N44" s="550"/>
    </row>
    <row r="45" spans="2:15" ht="15.75" customHeight="1" thickBot="1" x14ac:dyDescent="0.3">
      <c r="B45" s="211" t="s">
        <v>0</v>
      </c>
      <c r="C45" s="551" t="s">
        <v>52</v>
      </c>
      <c r="D45" s="552"/>
      <c r="E45" s="552"/>
      <c r="F45" s="552"/>
      <c r="G45" s="552"/>
      <c r="H45" s="552"/>
      <c r="I45" s="553"/>
      <c r="J45" s="554" t="s">
        <v>32</v>
      </c>
      <c r="K45" s="555"/>
      <c r="L45" s="555"/>
      <c r="M45" s="555"/>
      <c r="N45" s="556"/>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44:I44"/>
    <mergeCell ref="J44:N44"/>
    <mergeCell ref="C45:I45"/>
    <mergeCell ref="J45:N45"/>
    <mergeCell ref="D24:I24"/>
    <mergeCell ref="C40:G40"/>
    <mergeCell ref="C41:N41"/>
    <mergeCell ref="C42:I42"/>
    <mergeCell ref="J42:N42"/>
    <mergeCell ref="C43:I43"/>
    <mergeCell ref="J43:N43"/>
    <mergeCell ref="C23:I23"/>
    <mergeCell ref="C12:G12"/>
    <mergeCell ref="C13:G13"/>
    <mergeCell ref="C14:G14"/>
    <mergeCell ref="C15:I15"/>
    <mergeCell ref="C17:G17"/>
    <mergeCell ref="G18:H18"/>
    <mergeCell ref="G19:H19"/>
    <mergeCell ref="I19:I21"/>
    <mergeCell ref="G20:H20"/>
    <mergeCell ref="G21:H21"/>
    <mergeCell ref="C22:I22"/>
    <mergeCell ref="C10:I11"/>
    <mergeCell ref="B2:N2"/>
    <mergeCell ref="B3:N3"/>
    <mergeCell ref="B4:N4"/>
    <mergeCell ref="C8:I8"/>
    <mergeCell ref="M8:N8"/>
  </mergeCells>
  <printOptions horizontalCentered="1"/>
  <pageMargins left="0.25" right="0.25" top="0.75" bottom="0.75" header="0.3" footer="0.3"/>
  <pageSetup paperSize="9" scale="53"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B1:R45"/>
  <sheetViews>
    <sheetView view="pageBreakPreview" topLeftCell="A22" zoomScale="70" zoomScaleNormal="100" zoomScaleSheetLayoutView="70" workbookViewId="0">
      <selection activeCell="J42" sqref="J42:N42"/>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x14ac:dyDescent="0.25">
      <c r="B3" s="209"/>
      <c r="C3" s="74"/>
      <c r="D3" s="74"/>
      <c r="E3" s="74"/>
      <c r="F3" s="74"/>
      <c r="G3" s="74"/>
      <c r="H3" s="74"/>
      <c r="I3" s="75"/>
      <c r="J3" s="75"/>
      <c r="K3" s="29" t="s">
        <v>325</v>
      </c>
      <c r="L3" s="28"/>
      <c r="M3" s="29"/>
      <c r="N3" s="264" t="s">
        <v>326</v>
      </c>
      <c r="O3" s="32"/>
      <c r="P3" s="32"/>
      <c r="Q3" s="32"/>
      <c r="R3" s="32"/>
    </row>
    <row r="4" spans="2:18" ht="72" customHeight="1" x14ac:dyDescent="0.25">
      <c r="B4" s="177" t="s">
        <v>26</v>
      </c>
      <c r="C4" s="32" t="s">
        <v>30</v>
      </c>
      <c r="D4" s="32"/>
      <c r="E4" s="32"/>
      <c r="F4" s="32"/>
      <c r="G4" s="32"/>
      <c r="H4" s="32"/>
      <c r="I4" s="32"/>
      <c r="J4" s="14"/>
      <c r="K4" s="24" t="s">
        <v>25</v>
      </c>
      <c r="L4" s="76"/>
      <c r="M4" s="24"/>
      <c r="N4" s="265" t="s">
        <v>22</v>
      </c>
      <c r="O4" s="32"/>
      <c r="P4" s="32"/>
      <c r="Q4" s="32"/>
      <c r="R4" s="32"/>
    </row>
    <row r="5" spans="2:18" x14ac:dyDescent="0.25">
      <c r="B5" s="179" t="s">
        <v>24</v>
      </c>
      <c r="C5" s="72" t="s">
        <v>47</v>
      </c>
      <c r="D5" s="71"/>
      <c r="E5" s="71"/>
      <c r="F5" s="71"/>
      <c r="G5" s="71"/>
      <c r="H5" s="71"/>
      <c r="I5" s="72"/>
      <c r="J5" s="21"/>
      <c r="K5" s="20" t="s">
        <v>23</v>
      </c>
      <c r="L5" s="77"/>
      <c r="M5" s="20"/>
      <c r="N5" s="266" t="s">
        <v>22</v>
      </c>
    </row>
    <row r="6" spans="2:18" ht="30.75" x14ac:dyDescent="0.25">
      <c r="B6" s="267" t="s">
        <v>29</v>
      </c>
      <c r="C6" s="500" t="s">
        <v>19</v>
      </c>
      <c r="D6" s="501"/>
      <c r="E6" s="501"/>
      <c r="F6" s="501"/>
      <c r="G6" s="501"/>
      <c r="H6" s="501"/>
      <c r="I6" s="502"/>
      <c r="J6" s="249" t="s">
        <v>21</v>
      </c>
      <c r="K6" s="249" t="s">
        <v>20</v>
      </c>
      <c r="L6" s="18" t="s">
        <v>18</v>
      </c>
      <c r="M6" s="643" t="s">
        <v>17</v>
      </c>
      <c r="N6" s="673"/>
    </row>
    <row r="7" spans="2:18" x14ac:dyDescent="0.25">
      <c r="B7" s="268"/>
      <c r="C7" s="91"/>
      <c r="D7" s="92"/>
      <c r="E7" s="92"/>
      <c r="F7" s="92"/>
      <c r="G7" s="92"/>
      <c r="H7" s="92"/>
      <c r="I7" s="93"/>
      <c r="J7" s="33"/>
      <c r="K7" s="16"/>
      <c r="L7" s="17"/>
      <c r="M7" s="16"/>
      <c r="N7" s="269"/>
    </row>
    <row r="8" spans="2:18" ht="39" customHeight="1" x14ac:dyDescent="0.25">
      <c r="B8" s="177"/>
      <c r="C8" s="523" t="s">
        <v>327</v>
      </c>
      <c r="D8" s="524"/>
      <c r="E8" s="524"/>
      <c r="F8" s="524"/>
      <c r="G8" s="524"/>
      <c r="H8" s="524"/>
      <c r="I8" s="525"/>
      <c r="J8" s="34"/>
      <c r="K8" s="25"/>
      <c r="L8" s="79"/>
      <c r="M8" s="25"/>
      <c r="N8" s="270"/>
    </row>
    <row r="9" spans="2:18" x14ac:dyDescent="0.25">
      <c r="B9" s="177"/>
      <c r="C9" s="523"/>
      <c r="D9" s="524"/>
      <c r="E9" s="524"/>
      <c r="F9" s="524"/>
      <c r="G9" s="524"/>
      <c r="H9" s="524"/>
      <c r="I9" s="525"/>
      <c r="J9" s="34"/>
      <c r="K9" s="25"/>
      <c r="L9" s="79"/>
      <c r="M9" s="25"/>
      <c r="N9" s="270"/>
    </row>
    <row r="10" spans="2:18" ht="15.75" customHeight="1" x14ac:dyDescent="0.25">
      <c r="B10" s="177"/>
      <c r="C10" s="526"/>
      <c r="D10" s="527"/>
      <c r="E10" s="527"/>
      <c r="F10" s="527"/>
      <c r="G10" s="527"/>
      <c r="H10" s="255"/>
      <c r="I10" s="252"/>
      <c r="J10" s="35"/>
      <c r="K10" s="25"/>
      <c r="L10" s="79"/>
      <c r="M10" s="25"/>
      <c r="N10" s="270"/>
    </row>
    <row r="11" spans="2:18" ht="27.75" customHeight="1" x14ac:dyDescent="0.25">
      <c r="B11" s="177"/>
      <c r="C11" s="561" t="s">
        <v>130</v>
      </c>
      <c r="D11" s="527"/>
      <c r="E11" s="527"/>
      <c r="F11" s="527"/>
      <c r="G11" s="527"/>
      <c r="H11" s="255"/>
      <c r="I11" s="255"/>
      <c r="J11" s="35"/>
      <c r="K11" s="25"/>
      <c r="L11" s="79"/>
      <c r="M11" s="25"/>
      <c r="N11" s="270"/>
    </row>
    <row r="12" spans="2:18" x14ac:dyDescent="0.25">
      <c r="B12" s="177"/>
      <c r="C12" s="526" t="s">
        <v>329</v>
      </c>
      <c r="D12" s="527"/>
      <c r="E12" s="527"/>
      <c r="F12" s="527"/>
      <c r="G12" s="527"/>
      <c r="H12" s="255"/>
      <c r="I12" s="255"/>
      <c r="J12" s="35"/>
      <c r="K12" s="25"/>
      <c r="L12" s="79"/>
      <c r="M12" s="25"/>
      <c r="N12" s="270"/>
    </row>
    <row r="13" spans="2:18" ht="15.75" customHeight="1" x14ac:dyDescent="0.25">
      <c r="B13" s="177"/>
      <c r="C13" s="438" t="s">
        <v>330</v>
      </c>
      <c r="D13" s="564"/>
      <c r="E13" s="564"/>
      <c r="F13" s="564"/>
      <c r="G13" s="564"/>
      <c r="H13" s="564"/>
      <c r="I13" s="439"/>
      <c r="J13" s="35"/>
      <c r="K13" s="25"/>
      <c r="L13" s="79"/>
      <c r="M13" s="25"/>
      <c r="N13" s="270"/>
    </row>
    <row r="14" spans="2:18" ht="15.75" customHeight="1" x14ac:dyDescent="0.25">
      <c r="B14" s="177"/>
      <c r="C14" s="254"/>
      <c r="D14" s="255"/>
      <c r="E14" s="255"/>
      <c r="F14" s="255"/>
      <c r="G14" s="255"/>
      <c r="H14" s="255"/>
      <c r="I14" s="252"/>
      <c r="J14" s="35"/>
      <c r="K14" s="25"/>
      <c r="L14" s="79"/>
      <c r="M14" s="25"/>
      <c r="N14" s="270"/>
    </row>
    <row r="15" spans="2:18" ht="15.75" customHeight="1" x14ac:dyDescent="0.25">
      <c r="B15" s="177"/>
      <c r="C15" s="565" t="s">
        <v>16</v>
      </c>
      <c r="D15" s="566"/>
      <c r="E15" s="566"/>
      <c r="F15" s="566"/>
      <c r="G15" s="566"/>
      <c r="H15" s="251"/>
      <c r="I15" s="94"/>
      <c r="J15" s="37"/>
      <c r="K15" s="25"/>
      <c r="L15" s="79"/>
      <c r="M15" s="25"/>
      <c r="N15" s="270"/>
    </row>
    <row r="16" spans="2:18" ht="31.5" x14ac:dyDescent="0.25">
      <c r="B16" s="177"/>
      <c r="C16" s="256" t="s">
        <v>15</v>
      </c>
      <c r="D16" s="256" t="s">
        <v>14</v>
      </c>
      <c r="E16" s="256" t="s">
        <v>13</v>
      </c>
      <c r="F16" s="256" t="s">
        <v>12</v>
      </c>
      <c r="G16" s="469" t="s">
        <v>11</v>
      </c>
      <c r="H16" s="469"/>
      <c r="I16" s="60" t="s">
        <v>10</v>
      </c>
      <c r="J16" s="36"/>
      <c r="K16" s="25"/>
      <c r="L16" s="79"/>
      <c r="M16" s="25"/>
      <c r="N16" s="270"/>
    </row>
    <row r="17" spans="2:14" ht="55.9" customHeight="1" x14ac:dyDescent="0.25">
      <c r="B17" s="177"/>
      <c r="C17" s="212">
        <v>36</v>
      </c>
      <c r="D17" s="220" t="s">
        <v>51</v>
      </c>
      <c r="E17" s="220" t="s">
        <v>132</v>
      </c>
      <c r="F17" s="150">
        <v>45238</v>
      </c>
      <c r="G17" s="506" t="s">
        <v>80</v>
      </c>
      <c r="H17" s="506"/>
      <c r="I17" s="597" t="s">
        <v>140</v>
      </c>
      <c r="J17" s="219">
        <v>36</v>
      </c>
      <c r="K17" s="90" t="s">
        <v>55</v>
      </c>
      <c r="L17" s="81">
        <v>100</v>
      </c>
      <c r="M17" s="90"/>
      <c r="N17" s="271">
        <f>J17*L17</f>
        <v>3600</v>
      </c>
    </row>
    <row r="18" spans="2:14" ht="67.900000000000006" customHeight="1" x14ac:dyDescent="0.25">
      <c r="B18" s="177"/>
      <c r="C18" s="212">
        <v>36</v>
      </c>
      <c r="D18" s="220" t="s">
        <v>9</v>
      </c>
      <c r="E18" s="220" t="s">
        <v>132</v>
      </c>
      <c r="F18" s="150">
        <v>45238</v>
      </c>
      <c r="G18" s="506" t="s">
        <v>79</v>
      </c>
      <c r="H18" s="506"/>
      <c r="I18" s="597"/>
      <c r="J18" s="219">
        <v>36</v>
      </c>
      <c r="K18" s="90" t="s">
        <v>55</v>
      </c>
      <c r="L18" s="81">
        <v>200</v>
      </c>
      <c r="M18" s="90"/>
      <c r="N18" s="271">
        <f t="shared" ref="N18:N19" si="0">J18*L18</f>
        <v>7200</v>
      </c>
    </row>
    <row r="19" spans="2:14" ht="53.45" customHeight="1" x14ac:dyDescent="0.25">
      <c r="B19" s="177"/>
      <c r="C19" s="212">
        <v>36</v>
      </c>
      <c r="D19" s="220" t="s">
        <v>133</v>
      </c>
      <c r="E19" s="220" t="s">
        <v>132</v>
      </c>
      <c r="F19" s="150">
        <v>45238</v>
      </c>
      <c r="G19" s="506" t="s">
        <v>96</v>
      </c>
      <c r="H19" s="506"/>
      <c r="I19" s="598"/>
      <c r="J19" s="219">
        <v>36</v>
      </c>
      <c r="K19" s="90" t="s">
        <v>55</v>
      </c>
      <c r="L19" s="98">
        <v>100</v>
      </c>
      <c r="M19" s="90"/>
      <c r="N19" s="271">
        <f t="shared" si="0"/>
        <v>3600</v>
      </c>
    </row>
    <row r="20" spans="2:14" ht="62.25" customHeight="1" x14ac:dyDescent="0.25">
      <c r="B20" s="177"/>
      <c r="C20" s="523"/>
      <c r="D20" s="524"/>
      <c r="E20" s="524"/>
      <c r="F20" s="524"/>
      <c r="G20" s="524"/>
      <c r="H20" s="524"/>
      <c r="I20" s="525"/>
      <c r="J20" s="257"/>
      <c r="K20" s="25"/>
      <c r="L20" s="79"/>
      <c r="M20" s="25"/>
      <c r="N20" s="270"/>
    </row>
    <row r="21" spans="2:14" ht="51.75" customHeight="1" x14ac:dyDescent="0.25">
      <c r="B21" s="177"/>
      <c r="C21" s="561" t="s">
        <v>82</v>
      </c>
      <c r="D21" s="562"/>
      <c r="E21" s="562"/>
      <c r="F21" s="562"/>
      <c r="G21" s="562"/>
      <c r="H21" s="562"/>
      <c r="I21" s="563"/>
      <c r="J21" s="257"/>
      <c r="K21" s="25"/>
      <c r="L21" s="79"/>
      <c r="M21" s="25"/>
      <c r="N21" s="270"/>
    </row>
    <row r="22" spans="2:14" ht="15.75" customHeight="1" x14ac:dyDescent="0.25">
      <c r="B22" s="177"/>
      <c r="C22" s="250"/>
      <c r="D22" s="669"/>
      <c r="E22" s="669"/>
      <c r="F22" s="669"/>
      <c r="G22" s="669"/>
      <c r="H22" s="669"/>
      <c r="I22" s="670"/>
      <c r="J22" s="257"/>
      <c r="K22" s="25"/>
      <c r="L22" s="79"/>
      <c r="M22" s="25"/>
      <c r="N22" s="272"/>
    </row>
    <row r="23" spans="2:14" ht="15.75" customHeight="1" x14ac:dyDescent="0.25">
      <c r="B23" s="177"/>
      <c r="C23" s="250"/>
      <c r="D23" s="251"/>
      <c r="E23" s="251"/>
      <c r="F23" s="251"/>
      <c r="G23" s="251"/>
      <c r="H23" s="251"/>
      <c r="I23" s="116"/>
      <c r="J23" s="257"/>
      <c r="K23" s="25"/>
      <c r="L23" s="79"/>
      <c r="M23" s="25"/>
      <c r="N23" s="270"/>
    </row>
    <row r="24" spans="2:14" ht="21" customHeight="1" x14ac:dyDescent="0.25">
      <c r="B24" s="177"/>
      <c r="C24" s="95" t="s">
        <v>134</v>
      </c>
      <c r="D24" s="251"/>
      <c r="E24" s="251"/>
      <c r="F24" s="251"/>
      <c r="G24" s="251"/>
      <c r="H24" s="251"/>
      <c r="I24" s="116"/>
      <c r="J24" s="257"/>
      <c r="K24" s="25"/>
      <c r="L24" s="79"/>
      <c r="M24" s="25"/>
      <c r="N24" s="272"/>
    </row>
    <row r="25" spans="2:14" ht="15.75" customHeight="1" x14ac:dyDescent="0.25">
      <c r="B25" s="177"/>
      <c r="C25" s="95" t="s">
        <v>331</v>
      </c>
      <c r="D25" s="251"/>
      <c r="E25" s="251"/>
      <c r="F25" s="251"/>
      <c r="G25" s="251"/>
      <c r="H25" s="251"/>
      <c r="I25" s="116"/>
      <c r="J25" s="257"/>
      <c r="K25" s="25"/>
      <c r="L25" s="79"/>
      <c r="M25" s="25"/>
      <c r="N25" s="270"/>
    </row>
    <row r="26" spans="2:14" ht="15.75" customHeight="1" x14ac:dyDescent="0.25">
      <c r="B26" s="177"/>
      <c r="C26" s="95"/>
      <c r="D26" s="251"/>
      <c r="E26" s="251"/>
      <c r="F26" s="251"/>
      <c r="G26" s="251"/>
      <c r="H26" s="251"/>
      <c r="I26" s="116"/>
      <c r="J26" s="257"/>
      <c r="K26" s="25"/>
      <c r="L26" s="79"/>
      <c r="M26" s="25"/>
      <c r="N26" s="270"/>
    </row>
    <row r="27" spans="2:14" ht="15.75" customHeight="1" x14ac:dyDescent="0.25">
      <c r="B27" s="177"/>
      <c r="C27" s="96" t="s">
        <v>33</v>
      </c>
      <c r="D27" s="251"/>
      <c r="E27" s="251"/>
      <c r="F27" s="251"/>
      <c r="G27" s="251"/>
      <c r="H27" s="251"/>
      <c r="I27" s="116"/>
      <c r="J27" s="257"/>
      <c r="K27" s="25"/>
      <c r="L27" s="79"/>
      <c r="M27" s="25"/>
      <c r="N27" s="270"/>
    </row>
    <row r="28" spans="2:14" ht="15.75" customHeight="1" x14ac:dyDescent="0.25">
      <c r="B28" s="177"/>
      <c r="C28" s="95" t="s">
        <v>34</v>
      </c>
      <c r="D28" s="251"/>
      <c r="E28" s="251"/>
      <c r="F28" s="251"/>
      <c r="G28" s="251"/>
      <c r="H28" s="251"/>
      <c r="I28" s="116"/>
      <c r="J28" s="257"/>
      <c r="K28" s="25"/>
      <c r="L28" s="79"/>
      <c r="M28" s="25"/>
      <c r="N28" s="270"/>
    </row>
    <row r="29" spans="2:14" ht="15.75" customHeight="1" x14ac:dyDescent="0.25">
      <c r="B29" s="177"/>
      <c r="C29" s="95" t="s">
        <v>35</v>
      </c>
      <c r="D29" s="251"/>
      <c r="E29" s="251"/>
      <c r="F29" s="251"/>
      <c r="G29" s="251"/>
      <c r="H29" s="251"/>
      <c r="I29" s="116"/>
      <c r="J29" s="257"/>
      <c r="K29" s="25"/>
      <c r="L29" s="79"/>
      <c r="M29" s="25"/>
      <c r="N29" s="270"/>
    </row>
    <row r="30" spans="2:14" ht="15.75" customHeight="1" x14ac:dyDescent="0.25">
      <c r="B30" s="177"/>
      <c r="C30" s="95"/>
      <c r="D30" s="251" t="s">
        <v>50</v>
      </c>
      <c r="E30" s="251"/>
      <c r="F30" s="251"/>
      <c r="G30" s="251"/>
      <c r="H30" s="251"/>
      <c r="I30" s="116"/>
      <c r="J30" s="257"/>
      <c r="K30" s="25"/>
      <c r="L30" s="79"/>
      <c r="M30" s="25"/>
      <c r="N30" s="270"/>
    </row>
    <row r="31" spans="2:14" ht="15.75" customHeight="1" x14ac:dyDescent="0.25">
      <c r="B31" s="177"/>
      <c r="C31" s="96" t="s">
        <v>36</v>
      </c>
      <c r="D31" s="251"/>
      <c r="E31" s="251"/>
      <c r="F31" s="251"/>
      <c r="G31" s="251"/>
      <c r="H31" s="251"/>
      <c r="I31" s="116"/>
      <c r="J31" s="257"/>
      <c r="K31" s="25"/>
      <c r="L31" s="79"/>
      <c r="M31" s="25"/>
      <c r="N31" s="270"/>
    </row>
    <row r="32" spans="2:14" ht="15.75" customHeight="1" x14ac:dyDescent="0.25">
      <c r="B32" s="177"/>
      <c r="C32" s="95" t="s">
        <v>37</v>
      </c>
      <c r="D32" s="251"/>
      <c r="E32" s="251"/>
      <c r="F32" s="251"/>
      <c r="G32" s="251"/>
      <c r="H32" s="251"/>
      <c r="I32" s="116"/>
      <c r="J32" s="257"/>
      <c r="K32" s="25"/>
      <c r="L32" s="79"/>
      <c r="M32" s="25"/>
      <c r="N32" s="270"/>
    </row>
    <row r="33" spans="2:15" ht="15.75" customHeight="1" x14ac:dyDescent="0.25">
      <c r="B33" s="177"/>
      <c r="C33" s="95" t="s">
        <v>44</v>
      </c>
      <c r="D33" s="251"/>
      <c r="E33" s="251"/>
      <c r="F33" s="251"/>
      <c r="G33" s="251"/>
      <c r="H33" s="251"/>
      <c r="I33" s="116"/>
      <c r="J33" s="257"/>
      <c r="K33" s="25"/>
      <c r="L33" s="79"/>
      <c r="M33" s="25"/>
      <c r="N33" s="270"/>
    </row>
    <row r="34" spans="2:15" ht="15.75" customHeight="1" x14ac:dyDescent="0.25">
      <c r="B34" s="177"/>
      <c r="C34" s="95"/>
      <c r="D34" s="251"/>
      <c r="E34" s="251"/>
      <c r="F34" s="251"/>
      <c r="G34" s="251"/>
      <c r="H34" s="251"/>
      <c r="I34" s="116"/>
      <c r="J34" s="257"/>
      <c r="K34" s="25"/>
      <c r="L34" s="79"/>
      <c r="M34" s="25"/>
      <c r="N34" s="270"/>
    </row>
    <row r="35" spans="2:15" ht="15.75" customHeight="1" x14ac:dyDescent="0.25">
      <c r="B35" s="177"/>
      <c r="C35" s="250"/>
      <c r="D35" s="251"/>
      <c r="E35" s="251"/>
      <c r="F35" s="251"/>
      <c r="G35" s="251"/>
      <c r="H35" s="251"/>
      <c r="I35" s="116"/>
      <c r="J35" s="257"/>
      <c r="K35" s="25"/>
      <c r="L35" s="79"/>
      <c r="M35" s="25"/>
      <c r="N35" s="270"/>
    </row>
    <row r="36" spans="2:15" ht="15.75" customHeight="1" x14ac:dyDescent="0.25">
      <c r="B36" s="177"/>
      <c r="C36" s="99" t="s">
        <v>8</v>
      </c>
      <c r="D36" s="251"/>
      <c r="E36" s="251"/>
      <c r="F36" s="251"/>
      <c r="G36" s="251"/>
      <c r="H36" s="251"/>
      <c r="I36" s="94"/>
      <c r="J36" s="37"/>
      <c r="K36" s="25"/>
      <c r="L36" s="79"/>
      <c r="M36" s="25"/>
      <c r="N36" s="270"/>
    </row>
    <row r="37" spans="2:15" ht="15.75" customHeight="1" x14ac:dyDescent="0.25">
      <c r="B37" s="179"/>
      <c r="C37" s="22" t="s">
        <v>38</v>
      </c>
      <c r="D37" s="253"/>
      <c r="E37" s="253"/>
      <c r="F37" s="253"/>
      <c r="G37" s="253"/>
      <c r="H37" s="253"/>
      <c r="I37" s="97"/>
      <c r="J37" s="84"/>
      <c r="K37" s="22"/>
      <c r="L37" s="156"/>
      <c r="M37" s="22"/>
      <c r="N37" s="273"/>
    </row>
    <row r="38" spans="2:15" ht="15.75" customHeight="1" x14ac:dyDescent="0.25">
      <c r="B38" s="179"/>
      <c r="C38" s="475"/>
      <c r="D38" s="518"/>
      <c r="E38" s="518"/>
      <c r="F38" s="518"/>
      <c r="G38" s="518"/>
      <c r="H38" s="253"/>
      <c r="I38" s="97"/>
      <c r="J38" s="84"/>
      <c r="K38" s="22"/>
      <c r="L38" s="85" t="s">
        <v>6</v>
      </c>
      <c r="M38" s="86" t="s">
        <v>5</v>
      </c>
      <c r="N38" s="274">
        <f>SUM(N17:N20)</f>
        <v>14400</v>
      </c>
    </row>
    <row r="39" spans="2:15" ht="15.6" customHeight="1" x14ac:dyDescent="0.25">
      <c r="B39" s="275" t="s">
        <v>4</v>
      </c>
      <c r="C39" s="557" t="s">
        <v>328</v>
      </c>
      <c r="D39" s="558"/>
      <c r="E39" s="558"/>
      <c r="F39" s="558"/>
      <c r="G39" s="558"/>
      <c r="H39" s="558"/>
      <c r="I39" s="558"/>
      <c r="J39" s="558"/>
      <c r="K39" s="558"/>
      <c r="L39" s="558"/>
      <c r="M39" s="558"/>
      <c r="N39" s="559"/>
    </row>
    <row r="40" spans="2:15" x14ac:dyDescent="0.25">
      <c r="B40" s="209"/>
      <c r="C40" s="445"/>
      <c r="D40" s="444"/>
      <c r="E40" s="444"/>
      <c r="F40" s="444"/>
      <c r="G40" s="444"/>
      <c r="H40" s="444"/>
      <c r="I40" s="446"/>
      <c r="J40" s="441" t="s">
        <v>3</v>
      </c>
      <c r="K40" s="442"/>
      <c r="L40" s="442"/>
      <c r="M40" s="442"/>
      <c r="N40" s="550"/>
    </row>
    <row r="41" spans="2:15" ht="31.5" customHeight="1" x14ac:dyDescent="0.25">
      <c r="B41" s="210" t="s">
        <v>2</v>
      </c>
      <c r="C41" s="507"/>
      <c r="D41" s="508"/>
      <c r="E41" s="508"/>
      <c r="F41" s="508"/>
      <c r="G41" s="508"/>
      <c r="H41" s="508"/>
      <c r="I41" s="509"/>
      <c r="J41" s="445"/>
      <c r="K41" s="444"/>
      <c r="L41" s="444"/>
      <c r="M41" s="444"/>
      <c r="N41" s="560"/>
    </row>
    <row r="42" spans="2:15" x14ac:dyDescent="0.25">
      <c r="B42" s="210" t="s">
        <v>1</v>
      </c>
      <c r="C42" s="513" t="s">
        <v>216</v>
      </c>
      <c r="D42" s="440"/>
      <c r="E42" s="440"/>
      <c r="F42" s="440"/>
      <c r="G42" s="440"/>
      <c r="H42" s="440"/>
      <c r="I42" s="514"/>
      <c r="J42" s="441" t="s">
        <v>318</v>
      </c>
      <c r="K42" s="442"/>
      <c r="L42" s="442"/>
      <c r="M42" s="442"/>
      <c r="N42" s="550"/>
    </row>
    <row r="43" spans="2:15" ht="16.5" thickBot="1" x14ac:dyDescent="0.3">
      <c r="B43" s="211" t="s">
        <v>0</v>
      </c>
      <c r="C43" s="551" t="s">
        <v>217</v>
      </c>
      <c r="D43" s="552"/>
      <c r="E43" s="552"/>
      <c r="F43" s="552"/>
      <c r="G43" s="552"/>
      <c r="H43" s="552"/>
      <c r="I43" s="553"/>
      <c r="J43" s="554" t="s">
        <v>32</v>
      </c>
      <c r="K43" s="555"/>
      <c r="L43" s="555"/>
      <c r="M43" s="555"/>
      <c r="N43" s="556"/>
    </row>
    <row r="44" spans="2:15" ht="8.25" customHeight="1"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27">
    <mergeCell ref="B2:N2"/>
    <mergeCell ref="I17:I19"/>
    <mergeCell ref="C20:I20"/>
    <mergeCell ref="C21:I21"/>
    <mergeCell ref="D22:I22"/>
    <mergeCell ref="C12:G12"/>
    <mergeCell ref="G18:H18"/>
    <mergeCell ref="C15:G15"/>
    <mergeCell ref="G16:H16"/>
    <mergeCell ref="G17:H17"/>
    <mergeCell ref="C6:I6"/>
    <mergeCell ref="M6:N6"/>
    <mergeCell ref="C8:I9"/>
    <mergeCell ref="C10:G10"/>
    <mergeCell ref="C11:G11"/>
    <mergeCell ref="C13:I13"/>
    <mergeCell ref="G19:H19"/>
    <mergeCell ref="C42:I42"/>
    <mergeCell ref="J42:N42"/>
    <mergeCell ref="C43:I43"/>
    <mergeCell ref="J43:N43"/>
    <mergeCell ref="C38:G38"/>
    <mergeCell ref="C39:N39"/>
    <mergeCell ref="C40:I40"/>
    <mergeCell ref="J40:N40"/>
    <mergeCell ref="C41:I41"/>
    <mergeCell ref="J41:N41"/>
  </mergeCells>
  <printOptions horizontalCentered="1"/>
  <pageMargins left="0.25" right="0.25" top="0.75" bottom="0.75" header="0.3" footer="0.3"/>
  <pageSetup paperSize="9" scale="53"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B1:R47"/>
  <sheetViews>
    <sheetView view="pageBreakPreview" topLeftCell="A7" zoomScale="70" zoomScaleNormal="100" zoomScaleSheetLayoutView="70" workbookViewId="0">
      <selection activeCell="D34" sqref="D3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642" t="s">
        <v>28</v>
      </c>
      <c r="C1" s="642"/>
      <c r="D1" s="642"/>
      <c r="E1" s="642"/>
      <c r="F1" s="642"/>
      <c r="G1" s="642"/>
      <c r="H1" s="642"/>
      <c r="I1" s="642"/>
      <c r="J1" s="642"/>
      <c r="K1" s="642"/>
      <c r="L1" s="642"/>
      <c r="M1" s="642"/>
      <c r="N1" s="642"/>
    </row>
    <row r="2" spans="2:18" ht="18" x14ac:dyDescent="0.25">
      <c r="B2" s="423" t="s">
        <v>27</v>
      </c>
      <c r="C2" s="423"/>
      <c r="D2" s="423"/>
      <c r="E2" s="423"/>
      <c r="F2" s="423"/>
      <c r="G2" s="423"/>
      <c r="H2" s="423"/>
      <c r="I2" s="423"/>
      <c r="J2" s="423"/>
      <c r="K2" s="423"/>
      <c r="L2" s="423"/>
      <c r="M2" s="423"/>
      <c r="N2" s="423"/>
      <c r="O2" s="24"/>
      <c r="P2" s="24"/>
      <c r="Q2" s="24"/>
      <c r="R2" s="24"/>
    </row>
    <row r="3" spans="2:18" x14ac:dyDescent="0.25">
      <c r="B3" s="575" t="s">
        <v>165</v>
      </c>
      <c r="C3" s="576"/>
      <c r="D3" s="576"/>
      <c r="E3" s="576"/>
      <c r="F3" s="576"/>
      <c r="G3" s="576"/>
      <c r="H3" s="576"/>
      <c r="I3" s="576"/>
      <c r="J3" s="576"/>
      <c r="K3" s="576"/>
      <c r="L3" s="576"/>
      <c r="M3" s="576"/>
      <c r="N3" s="577"/>
      <c r="O3" s="32"/>
      <c r="P3" s="32"/>
      <c r="Q3" s="32"/>
      <c r="R3" s="32"/>
    </row>
    <row r="4" spans="2:18" ht="72" customHeight="1" x14ac:dyDescent="0.25">
      <c r="B4" s="73"/>
      <c r="C4" s="74"/>
      <c r="D4" s="74"/>
      <c r="E4" s="74"/>
      <c r="F4" s="74"/>
      <c r="G4" s="74"/>
      <c r="H4" s="74"/>
      <c r="I4" s="75"/>
      <c r="J4" s="75"/>
      <c r="K4" s="29" t="s">
        <v>364</v>
      </c>
      <c r="L4" s="28"/>
      <c r="M4" s="29"/>
      <c r="N4" s="26" t="s">
        <v>365</v>
      </c>
      <c r="O4" s="32"/>
      <c r="P4" s="32"/>
      <c r="Q4" s="32"/>
      <c r="R4" s="32"/>
    </row>
    <row r="5" spans="2:18" x14ac:dyDescent="0.25">
      <c r="B5" s="25" t="s">
        <v>26</v>
      </c>
      <c r="C5" s="32" t="s">
        <v>30</v>
      </c>
      <c r="D5" s="32"/>
      <c r="E5" s="32"/>
      <c r="F5" s="32"/>
      <c r="G5" s="32"/>
      <c r="H5" s="32"/>
      <c r="I5" s="32"/>
      <c r="J5" s="14"/>
      <c r="K5" s="24" t="s">
        <v>25</v>
      </c>
      <c r="L5" s="76"/>
      <c r="M5" s="24"/>
      <c r="N5" s="23" t="s">
        <v>22</v>
      </c>
    </row>
    <row r="6" spans="2:18" ht="30.75" customHeight="1" x14ac:dyDescent="0.25">
      <c r="B6" s="22" t="s">
        <v>24</v>
      </c>
      <c r="C6" s="72" t="s">
        <v>47</v>
      </c>
      <c r="D6" s="71"/>
      <c r="E6" s="71"/>
      <c r="F6" s="71"/>
      <c r="G6" s="71"/>
      <c r="H6" s="71"/>
      <c r="I6" s="72"/>
      <c r="J6" s="21"/>
      <c r="K6" s="20" t="s">
        <v>23</v>
      </c>
      <c r="L6" s="77"/>
      <c r="M6" s="20"/>
      <c r="N6" s="19" t="s">
        <v>22</v>
      </c>
    </row>
    <row r="7" spans="2:18" ht="30.75" x14ac:dyDescent="0.25">
      <c r="B7" s="276" t="s">
        <v>29</v>
      </c>
      <c r="C7" s="500" t="s">
        <v>19</v>
      </c>
      <c r="D7" s="501"/>
      <c r="E7" s="501"/>
      <c r="F7" s="501"/>
      <c r="G7" s="501"/>
      <c r="H7" s="501"/>
      <c r="I7" s="502"/>
      <c r="J7" s="249" t="s">
        <v>21</v>
      </c>
      <c r="K7" s="249" t="s">
        <v>20</v>
      </c>
      <c r="L7" s="18" t="s">
        <v>18</v>
      </c>
      <c r="M7" s="643" t="s">
        <v>17</v>
      </c>
      <c r="N7" s="643"/>
    </row>
    <row r="8" spans="2:18" ht="39" customHeight="1" x14ac:dyDescent="0.25">
      <c r="B8" s="277"/>
      <c r="C8" s="278"/>
      <c r="D8" s="92"/>
      <c r="E8" s="92"/>
      <c r="F8" s="92"/>
      <c r="G8" s="92"/>
      <c r="H8" s="92"/>
      <c r="I8" s="92"/>
      <c r="J8" s="33"/>
      <c r="K8" s="16"/>
      <c r="L8" s="17"/>
      <c r="M8" s="16"/>
      <c r="N8" s="15"/>
    </row>
    <row r="9" spans="2:18" x14ac:dyDescent="0.25">
      <c r="B9" s="78"/>
      <c r="C9" s="523" t="s">
        <v>368</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27.75" customHeight="1" x14ac:dyDescent="0.25">
      <c r="B11" s="78"/>
      <c r="C11" s="562"/>
      <c r="D11" s="527"/>
      <c r="E11" s="527"/>
      <c r="F11" s="527"/>
      <c r="G11" s="527"/>
      <c r="H11" s="255"/>
      <c r="I11" s="14"/>
      <c r="J11" s="35"/>
      <c r="K11" s="25"/>
      <c r="L11" s="79"/>
      <c r="M11" s="25"/>
      <c r="N11" s="80"/>
    </row>
    <row r="12" spans="2:18" ht="15.75" customHeight="1" x14ac:dyDescent="0.25">
      <c r="B12" s="78"/>
      <c r="C12" s="527" t="s">
        <v>97</v>
      </c>
      <c r="D12" s="527"/>
      <c r="E12" s="527"/>
      <c r="F12" s="527"/>
      <c r="G12" s="527"/>
      <c r="H12" s="255"/>
      <c r="I12" s="14"/>
      <c r="J12" s="35"/>
      <c r="K12" s="25"/>
      <c r="L12" s="79"/>
      <c r="M12" s="25"/>
      <c r="N12" s="80"/>
    </row>
    <row r="13" spans="2:18" ht="15.75" customHeight="1" x14ac:dyDescent="0.25">
      <c r="B13" s="78"/>
      <c r="C13" s="438" t="s">
        <v>166</v>
      </c>
      <c r="D13" s="564"/>
      <c r="E13" s="564"/>
      <c r="F13" s="564"/>
      <c r="G13" s="564"/>
      <c r="H13" s="564"/>
      <c r="I13" s="439"/>
      <c r="J13" s="279"/>
      <c r="K13" s="25"/>
      <c r="L13" s="79"/>
      <c r="M13" s="25"/>
      <c r="N13" s="80"/>
    </row>
    <row r="14" spans="2:18" ht="15.75" customHeight="1" x14ac:dyDescent="0.25">
      <c r="B14" s="78"/>
      <c r="C14" s="438" t="s">
        <v>366</v>
      </c>
      <c r="D14" s="564"/>
      <c r="E14" s="564"/>
      <c r="F14" s="564"/>
      <c r="G14" s="564"/>
      <c r="H14" s="564"/>
      <c r="I14" s="439"/>
      <c r="J14" s="279"/>
      <c r="K14" s="25"/>
      <c r="L14" s="79"/>
      <c r="M14" s="25"/>
      <c r="N14" s="80"/>
    </row>
    <row r="15" spans="2:18" ht="15.75" customHeight="1" x14ac:dyDescent="0.25">
      <c r="B15" s="78"/>
      <c r="C15" s="527"/>
      <c r="D15" s="527"/>
      <c r="E15" s="527"/>
      <c r="F15" s="527"/>
      <c r="G15" s="527"/>
      <c r="H15" s="255"/>
      <c r="I15" s="14"/>
      <c r="J15" s="35"/>
      <c r="K15" s="25"/>
      <c r="L15" s="79"/>
      <c r="M15" s="25"/>
      <c r="N15" s="80"/>
    </row>
    <row r="16" spans="2:18" x14ac:dyDescent="0.25">
      <c r="B16" s="78"/>
      <c r="C16" s="565" t="s">
        <v>16</v>
      </c>
      <c r="D16" s="566"/>
      <c r="E16" s="566"/>
      <c r="F16" s="566"/>
      <c r="G16" s="566"/>
      <c r="H16" s="251"/>
      <c r="I16" s="281"/>
      <c r="J16" s="37"/>
      <c r="K16" s="25"/>
      <c r="L16" s="79"/>
      <c r="M16" s="25"/>
      <c r="N16" s="80"/>
    </row>
    <row r="17" spans="2:14" ht="15.6" customHeight="1" x14ac:dyDescent="0.25">
      <c r="B17" s="78"/>
      <c r="C17" s="256" t="s">
        <v>15</v>
      </c>
      <c r="D17" s="256" t="s">
        <v>14</v>
      </c>
      <c r="E17" s="256" t="s">
        <v>13</v>
      </c>
      <c r="F17" s="256" t="s">
        <v>12</v>
      </c>
      <c r="G17" s="469" t="s">
        <v>11</v>
      </c>
      <c r="H17" s="469"/>
      <c r="I17" s="280" t="s">
        <v>10</v>
      </c>
      <c r="J17" s="36"/>
      <c r="K17" s="25"/>
      <c r="L17" s="79"/>
      <c r="M17" s="25"/>
      <c r="N17" s="80"/>
    </row>
    <row r="18" spans="2:14" ht="52.9" customHeight="1" x14ac:dyDescent="0.25">
      <c r="B18" s="78"/>
      <c r="C18" s="494">
        <v>120</v>
      </c>
      <c r="D18" s="220" t="s">
        <v>51</v>
      </c>
      <c r="E18" s="220" t="s">
        <v>145</v>
      </c>
      <c r="F18" s="282" t="s">
        <v>367</v>
      </c>
      <c r="G18" s="506" t="s">
        <v>146</v>
      </c>
      <c r="H18" s="506"/>
      <c r="I18" s="283"/>
      <c r="J18" s="219">
        <v>120</v>
      </c>
      <c r="K18" s="25"/>
      <c r="L18" s="98">
        <v>100</v>
      </c>
      <c r="M18" s="25"/>
      <c r="N18" s="82">
        <f>J18*L18</f>
        <v>12000</v>
      </c>
    </row>
    <row r="19" spans="2:14" ht="50.25" customHeight="1" x14ac:dyDescent="0.25">
      <c r="B19" s="78"/>
      <c r="C19" s="495"/>
      <c r="D19" s="220" t="s">
        <v>9</v>
      </c>
      <c r="E19" s="220" t="s">
        <v>147</v>
      </c>
      <c r="F19" s="282" t="s">
        <v>367</v>
      </c>
      <c r="G19" s="506" t="s">
        <v>148</v>
      </c>
      <c r="H19" s="506"/>
      <c r="I19" s="283"/>
      <c r="J19" s="219">
        <v>120</v>
      </c>
      <c r="K19" s="25"/>
      <c r="L19" s="81">
        <v>250</v>
      </c>
      <c r="M19" s="25"/>
      <c r="N19" s="82">
        <f t="shared" ref="N19:N20" si="0">J19*L19</f>
        <v>30000</v>
      </c>
    </row>
    <row r="20" spans="2:14" ht="46.5" customHeight="1" x14ac:dyDescent="0.25">
      <c r="B20" s="78"/>
      <c r="C20" s="495"/>
      <c r="D20" s="220" t="s">
        <v>133</v>
      </c>
      <c r="E20" s="220" t="s">
        <v>145</v>
      </c>
      <c r="F20" s="282" t="s">
        <v>367</v>
      </c>
      <c r="G20" s="506" t="s">
        <v>146</v>
      </c>
      <c r="H20" s="506"/>
      <c r="I20" s="283"/>
      <c r="J20" s="219">
        <v>120</v>
      </c>
      <c r="K20" s="25"/>
      <c r="L20" s="79">
        <v>100</v>
      </c>
      <c r="M20" s="25"/>
      <c r="N20" s="82">
        <f t="shared" si="0"/>
        <v>12000</v>
      </c>
    </row>
    <row r="21" spans="2:14" ht="51.75" customHeight="1" x14ac:dyDescent="0.25">
      <c r="B21" s="78"/>
      <c r="C21" s="529"/>
      <c r="D21" s="530"/>
      <c r="E21" s="530"/>
      <c r="F21" s="530"/>
      <c r="G21" s="530"/>
      <c r="H21" s="530"/>
      <c r="I21" s="473"/>
      <c r="J21" s="257"/>
      <c r="K21" s="24"/>
      <c r="L21" s="79"/>
      <c r="M21" s="25"/>
      <c r="N21" s="80"/>
    </row>
    <row r="22" spans="2:14" ht="15.75" customHeight="1" x14ac:dyDescent="0.25">
      <c r="B22" s="78"/>
      <c r="C22" s="645"/>
      <c r="D22" s="645"/>
      <c r="E22" s="645"/>
      <c r="F22" s="645"/>
      <c r="G22" s="645"/>
      <c r="H22" s="645"/>
      <c r="I22" s="646"/>
      <c r="J22" s="257"/>
      <c r="K22" s="24"/>
      <c r="L22" s="79"/>
      <c r="M22" s="25"/>
      <c r="N22" s="80"/>
    </row>
    <row r="23" spans="2:14" ht="15.75" customHeight="1" x14ac:dyDescent="0.25">
      <c r="B23" s="78"/>
      <c r="C23" s="524" t="s">
        <v>82</v>
      </c>
      <c r="D23" s="524"/>
      <c r="E23" s="524"/>
      <c r="F23" s="524"/>
      <c r="G23" s="524"/>
      <c r="H23" s="524"/>
      <c r="I23" s="525"/>
      <c r="J23" s="135"/>
      <c r="K23" s="25"/>
      <c r="L23" s="79"/>
      <c r="M23" s="25"/>
      <c r="N23" s="80"/>
    </row>
    <row r="24" spans="2:14" ht="21" customHeight="1" x14ac:dyDescent="0.25">
      <c r="B24" s="78"/>
      <c r="C24" s="527"/>
      <c r="D24" s="527"/>
      <c r="E24" s="527"/>
      <c r="F24" s="527"/>
      <c r="G24" s="527"/>
      <c r="H24" s="527"/>
      <c r="I24" s="528"/>
      <c r="J24" s="314"/>
      <c r="K24" s="25"/>
      <c r="L24" s="79"/>
      <c r="M24" s="25"/>
      <c r="N24" s="80"/>
    </row>
    <row r="25" spans="2:14" ht="15.75" customHeight="1" x14ac:dyDescent="0.25">
      <c r="B25" s="78"/>
      <c r="C25" s="688" t="s">
        <v>369</v>
      </c>
      <c r="D25" s="527"/>
      <c r="E25" s="527"/>
      <c r="F25" s="527"/>
      <c r="G25" s="527"/>
      <c r="H25" s="527"/>
      <c r="I25" s="528"/>
      <c r="J25" s="252"/>
      <c r="K25" s="25"/>
      <c r="L25" s="79"/>
      <c r="M25" s="25"/>
      <c r="N25" s="80"/>
    </row>
    <row r="26" spans="2:14" ht="15.75" customHeight="1" x14ac:dyDescent="0.25">
      <c r="B26" s="78"/>
      <c r="C26" s="689" t="s">
        <v>370</v>
      </c>
      <c r="D26" s="564"/>
      <c r="E26" s="564"/>
      <c r="F26" s="564"/>
      <c r="G26" s="564"/>
      <c r="H26" s="564"/>
      <c r="I26" s="439"/>
      <c r="J26" s="314"/>
      <c r="K26" s="25"/>
      <c r="L26" s="79"/>
      <c r="M26" s="25"/>
      <c r="N26" s="80"/>
    </row>
    <row r="27" spans="2:14" ht="15.75" customHeight="1" x14ac:dyDescent="0.25">
      <c r="B27" s="78"/>
      <c r="C27" s="564"/>
      <c r="D27" s="564"/>
      <c r="E27" s="564"/>
      <c r="F27" s="564"/>
      <c r="G27" s="564"/>
      <c r="H27" s="564"/>
      <c r="I27" s="439"/>
      <c r="J27" s="314"/>
      <c r="K27" s="25"/>
      <c r="L27" s="79"/>
      <c r="M27" s="25"/>
      <c r="N27" s="80"/>
    </row>
    <row r="28" spans="2:14" ht="15.75" customHeight="1" x14ac:dyDescent="0.25">
      <c r="B28" s="78"/>
      <c r="C28" s="104"/>
      <c r="D28" s="104"/>
      <c r="E28" s="104"/>
      <c r="F28" s="104"/>
      <c r="G28" s="104"/>
      <c r="H28" s="104"/>
      <c r="I28" s="105"/>
      <c r="J28" s="94"/>
      <c r="K28" s="25"/>
      <c r="L28" s="79"/>
      <c r="M28" s="25"/>
      <c r="N28" s="80"/>
    </row>
    <row r="29" spans="2:14" ht="15.75" customHeight="1" x14ac:dyDescent="0.25">
      <c r="B29" s="42"/>
      <c r="C29" s="317" t="s">
        <v>33</v>
      </c>
      <c r="D29" s="307"/>
      <c r="E29" s="307"/>
      <c r="F29" s="307"/>
      <c r="G29" s="307"/>
      <c r="H29" s="307"/>
      <c r="I29" s="320"/>
      <c r="J29" s="315"/>
      <c r="K29" s="25"/>
      <c r="L29" s="79"/>
      <c r="M29" s="25"/>
      <c r="N29" s="80"/>
    </row>
    <row r="30" spans="2:14" ht="15.75" customHeight="1" x14ac:dyDescent="0.25">
      <c r="B30" s="78"/>
      <c r="C30" s="316" t="s">
        <v>34</v>
      </c>
      <c r="D30" s="307"/>
      <c r="E30" s="307"/>
      <c r="F30" s="307"/>
      <c r="G30" s="307"/>
      <c r="H30" s="307"/>
      <c r="I30" s="320"/>
      <c r="J30" s="315"/>
      <c r="K30" s="25"/>
      <c r="L30" s="79"/>
      <c r="M30" s="25"/>
      <c r="N30" s="80"/>
    </row>
    <row r="31" spans="2:14" ht="15.75" customHeight="1" x14ac:dyDescent="0.25">
      <c r="B31" s="78"/>
      <c r="C31" s="316" t="s">
        <v>35</v>
      </c>
      <c r="D31" s="307"/>
      <c r="E31" s="307"/>
      <c r="F31" s="307"/>
      <c r="G31" s="307"/>
      <c r="H31" s="307"/>
      <c r="I31" s="320"/>
      <c r="J31" s="315"/>
      <c r="K31" s="25"/>
      <c r="L31" s="79"/>
      <c r="M31" s="25"/>
      <c r="N31" s="80"/>
    </row>
    <row r="32" spans="2:14" ht="15.75" customHeight="1" x14ac:dyDescent="0.25">
      <c r="B32" s="78"/>
      <c r="C32" s="307"/>
      <c r="D32" s="307"/>
      <c r="E32" s="307"/>
      <c r="F32" s="307"/>
      <c r="G32" s="307"/>
      <c r="H32" s="307"/>
      <c r="I32" s="320"/>
      <c r="J32" s="315"/>
      <c r="K32" s="25"/>
      <c r="L32" s="79"/>
      <c r="M32" s="25"/>
      <c r="N32" s="80"/>
    </row>
    <row r="33" spans="2:15" ht="15.75" customHeight="1" x14ac:dyDescent="0.25">
      <c r="B33" s="78"/>
      <c r="C33" s="102"/>
      <c r="D33" s="102"/>
      <c r="E33" s="102"/>
      <c r="F33" s="102"/>
      <c r="G33" s="102"/>
      <c r="H33" s="255"/>
      <c r="I33" s="252"/>
      <c r="J33" s="252"/>
      <c r="K33" s="25"/>
      <c r="L33" s="79"/>
      <c r="M33" s="25"/>
      <c r="N33" s="80"/>
    </row>
    <row r="34" spans="2:15" ht="15.75" customHeight="1" x14ac:dyDescent="0.25">
      <c r="B34" s="78"/>
      <c r="C34" s="317" t="s">
        <v>36</v>
      </c>
      <c r="D34" s="317"/>
      <c r="E34" s="317"/>
      <c r="F34" s="317"/>
      <c r="G34" s="317"/>
      <c r="H34" s="317"/>
      <c r="I34" s="321"/>
      <c r="J34" s="252"/>
      <c r="K34" s="25"/>
      <c r="L34" s="79"/>
      <c r="M34" s="25"/>
      <c r="N34" s="80"/>
    </row>
    <row r="35" spans="2:15" ht="15.6" customHeight="1" x14ac:dyDescent="0.25">
      <c r="B35" s="78"/>
      <c r="C35" s="316" t="s">
        <v>37</v>
      </c>
      <c r="D35" s="316"/>
      <c r="E35" s="316"/>
      <c r="F35" s="316"/>
      <c r="G35" s="316"/>
      <c r="H35" s="316"/>
      <c r="I35" s="322"/>
      <c r="J35" s="252"/>
      <c r="K35" s="25"/>
      <c r="L35" s="79"/>
      <c r="M35" s="25"/>
      <c r="N35" s="80"/>
    </row>
    <row r="36" spans="2:15" x14ac:dyDescent="0.25">
      <c r="B36" s="78"/>
      <c r="C36" s="316" t="s">
        <v>44</v>
      </c>
      <c r="D36" s="316"/>
      <c r="E36" s="316"/>
      <c r="F36" s="316"/>
      <c r="G36" s="316"/>
      <c r="H36" s="316"/>
      <c r="I36" s="322"/>
      <c r="J36" s="94"/>
      <c r="K36" s="25"/>
      <c r="L36" s="79"/>
      <c r="M36" s="25"/>
      <c r="N36" s="80"/>
    </row>
    <row r="37" spans="2:15" ht="15.75" customHeight="1" x14ac:dyDescent="0.25">
      <c r="B37" s="78"/>
      <c r="C37" s="527"/>
      <c r="D37" s="527"/>
      <c r="E37" s="527"/>
      <c r="F37" s="527"/>
      <c r="G37" s="527"/>
      <c r="H37" s="527"/>
      <c r="I37" s="528"/>
      <c r="J37" s="252"/>
      <c r="K37" s="25"/>
      <c r="L37" s="79"/>
      <c r="M37" s="25"/>
      <c r="N37" s="80"/>
    </row>
    <row r="38" spans="2:15" ht="15.75" customHeight="1" x14ac:dyDescent="0.25">
      <c r="B38" s="78"/>
      <c r="C38" s="289"/>
      <c r="D38" s="289"/>
      <c r="E38" s="289"/>
      <c r="F38" s="289"/>
      <c r="G38" s="289"/>
      <c r="H38" s="289"/>
      <c r="I38" s="115"/>
      <c r="J38" s="252"/>
      <c r="K38" s="25"/>
      <c r="L38" s="79"/>
      <c r="M38" s="25"/>
      <c r="N38" s="80"/>
    </row>
    <row r="39" spans="2:15" ht="8.25" customHeight="1" x14ac:dyDescent="0.25">
      <c r="B39" s="78"/>
      <c r="C39" s="289"/>
      <c r="D39" s="289"/>
      <c r="E39" s="289"/>
      <c r="F39" s="289"/>
      <c r="G39" s="289"/>
      <c r="H39" s="289"/>
      <c r="I39" s="115"/>
      <c r="J39" s="252"/>
      <c r="K39" s="25"/>
      <c r="L39" s="79"/>
      <c r="M39" s="25"/>
      <c r="N39" s="80"/>
      <c r="O39" s="5"/>
    </row>
    <row r="40" spans="2:15" x14ac:dyDescent="0.25">
      <c r="B40" s="78"/>
      <c r="C40" s="524" t="s">
        <v>8</v>
      </c>
      <c r="D40" s="524"/>
      <c r="E40" s="524"/>
      <c r="F40" s="524"/>
      <c r="G40" s="524"/>
      <c r="H40" s="251"/>
      <c r="I40" s="94"/>
      <c r="J40" s="94"/>
      <c r="K40" s="25"/>
      <c r="L40" s="79"/>
      <c r="M40" s="25"/>
      <c r="N40" s="80"/>
      <c r="O40" s="5"/>
    </row>
    <row r="41" spans="2:15" x14ac:dyDescent="0.25">
      <c r="B41" s="78"/>
      <c r="C41" s="527" t="s">
        <v>7</v>
      </c>
      <c r="D41" s="527"/>
      <c r="E41" s="527"/>
      <c r="F41" s="527"/>
      <c r="G41" s="527"/>
      <c r="H41" s="255"/>
      <c r="I41" s="252"/>
      <c r="J41" s="252"/>
      <c r="K41" s="25"/>
      <c r="L41" s="79"/>
      <c r="M41" s="25"/>
      <c r="N41" s="80"/>
    </row>
    <row r="42" spans="2:15" x14ac:dyDescent="0.25">
      <c r="B42" s="83"/>
      <c r="C42" s="527"/>
      <c r="D42" s="527"/>
      <c r="E42" s="527"/>
      <c r="F42" s="527"/>
      <c r="G42" s="527"/>
      <c r="H42" s="255"/>
      <c r="I42" s="252"/>
      <c r="J42" s="252"/>
      <c r="K42" s="25"/>
      <c r="L42" s="318" t="s">
        <v>6</v>
      </c>
      <c r="M42" s="319" t="s">
        <v>5</v>
      </c>
      <c r="N42" s="155">
        <f>SUM(N16:N40)</f>
        <v>54000</v>
      </c>
    </row>
    <row r="43" spans="2:15" x14ac:dyDescent="0.25">
      <c r="B43" s="88" t="s">
        <v>4</v>
      </c>
      <c r="C43" s="687" t="s">
        <v>368</v>
      </c>
      <c r="D43" s="687"/>
      <c r="E43" s="687"/>
      <c r="F43" s="687"/>
      <c r="G43" s="687"/>
      <c r="H43" s="687"/>
      <c r="I43" s="687"/>
      <c r="J43" s="687"/>
      <c r="K43" s="687"/>
      <c r="L43" s="687"/>
      <c r="M43" s="687"/>
      <c r="N43" s="687"/>
    </row>
    <row r="44" spans="2:15" x14ac:dyDescent="0.25">
      <c r="B44" s="73"/>
      <c r="C44" s="445"/>
      <c r="D44" s="444"/>
      <c r="E44" s="444"/>
      <c r="F44" s="444"/>
      <c r="G44" s="444"/>
      <c r="H44" s="444"/>
      <c r="I44" s="446"/>
      <c r="J44" s="441" t="s">
        <v>3</v>
      </c>
      <c r="K44" s="442"/>
      <c r="L44" s="442"/>
      <c r="M44" s="442"/>
      <c r="N44" s="443"/>
    </row>
    <row r="45" spans="2:15" x14ac:dyDescent="0.25">
      <c r="B45" s="78" t="s">
        <v>2</v>
      </c>
      <c r="C45" s="507"/>
      <c r="D45" s="508"/>
      <c r="E45" s="508"/>
      <c r="F45" s="508"/>
      <c r="G45" s="508"/>
      <c r="H45" s="508"/>
      <c r="I45" s="509"/>
      <c r="J45" s="445"/>
      <c r="K45" s="444"/>
      <c r="L45" s="444"/>
      <c r="M45" s="444"/>
      <c r="N45" s="444"/>
    </row>
    <row r="46" spans="2:15" x14ac:dyDescent="0.25">
      <c r="B46" s="78" t="s">
        <v>1</v>
      </c>
      <c r="C46" s="513" t="s">
        <v>216</v>
      </c>
      <c r="D46" s="440"/>
      <c r="E46" s="440"/>
      <c r="F46" s="440"/>
      <c r="G46" s="440"/>
      <c r="H46" s="440"/>
      <c r="I46" s="514"/>
      <c r="J46" s="441" t="s">
        <v>340</v>
      </c>
      <c r="K46" s="442"/>
      <c r="L46" s="442"/>
      <c r="M46" s="442"/>
      <c r="N46" s="550"/>
    </row>
    <row r="47" spans="2:15" x14ac:dyDescent="0.25">
      <c r="B47" s="83" t="s">
        <v>0</v>
      </c>
      <c r="C47" s="507" t="s">
        <v>217</v>
      </c>
      <c r="D47" s="508"/>
      <c r="E47" s="508"/>
      <c r="F47" s="508"/>
      <c r="G47" s="508"/>
      <c r="H47" s="508"/>
      <c r="I47" s="509"/>
      <c r="J47" s="445" t="s">
        <v>32</v>
      </c>
      <c r="K47" s="444"/>
      <c r="L47" s="444"/>
      <c r="M47" s="444"/>
      <c r="N47" s="446"/>
    </row>
  </sheetData>
  <mergeCells count="36">
    <mergeCell ref="C11:G11"/>
    <mergeCell ref="C12:G12"/>
    <mergeCell ref="C13:I13"/>
    <mergeCell ref="C15:G15"/>
    <mergeCell ref="C23:I23"/>
    <mergeCell ref="C14:I14"/>
    <mergeCell ref="C24:I24"/>
    <mergeCell ref="G17:H17"/>
    <mergeCell ref="G18:H18"/>
    <mergeCell ref="G19:H19"/>
    <mergeCell ref="C16:G16"/>
    <mergeCell ref="C21:I21"/>
    <mergeCell ref="C18:C20"/>
    <mergeCell ref="G20:H20"/>
    <mergeCell ref="C22:I22"/>
    <mergeCell ref="B1:N1"/>
    <mergeCell ref="B3:N3"/>
    <mergeCell ref="C7:I7"/>
    <mergeCell ref="M7:N7"/>
    <mergeCell ref="C9:I10"/>
    <mergeCell ref="B2:N2"/>
    <mergeCell ref="C25:I25"/>
    <mergeCell ref="C26:I27"/>
    <mergeCell ref="C40:G40"/>
    <mergeCell ref="C41:G41"/>
    <mergeCell ref="C42:G42"/>
    <mergeCell ref="C37:I37"/>
    <mergeCell ref="C46:I46"/>
    <mergeCell ref="J46:N46"/>
    <mergeCell ref="C47:I47"/>
    <mergeCell ref="J47:N47"/>
    <mergeCell ref="C43:N43"/>
    <mergeCell ref="C44:I44"/>
    <mergeCell ref="J44:N44"/>
    <mergeCell ref="C45:I45"/>
    <mergeCell ref="J45:N45"/>
  </mergeCells>
  <printOptions horizontalCentered="1"/>
  <pageMargins left="0.25" right="0.25" top="0.75" bottom="0.75" header="0.3" footer="0.3"/>
  <pageSetup paperSize="9" scale="53"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R55"/>
  <sheetViews>
    <sheetView view="pageBreakPreview" topLeftCell="B7" zoomScale="70" zoomScaleNormal="100" zoomScaleSheetLayoutView="70" workbookViewId="0">
      <selection activeCell="I19" sqref="I19"/>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642" t="s">
        <v>28</v>
      </c>
      <c r="C1" s="642"/>
      <c r="D1" s="642"/>
      <c r="E1" s="642"/>
      <c r="F1" s="642"/>
      <c r="G1" s="642"/>
      <c r="H1" s="642"/>
      <c r="I1" s="642"/>
      <c r="J1" s="642"/>
      <c r="K1" s="642"/>
      <c r="L1" s="642"/>
      <c r="M1" s="642"/>
      <c r="N1" s="642"/>
    </row>
    <row r="2" spans="2:18" ht="18" x14ac:dyDescent="0.25">
      <c r="B2" s="423" t="s">
        <v>27</v>
      </c>
      <c r="C2" s="423"/>
      <c r="D2" s="423"/>
      <c r="E2" s="423"/>
      <c r="F2" s="423"/>
      <c r="G2" s="423"/>
      <c r="H2" s="423"/>
      <c r="I2" s="423"/>
      <c r="J2" s="423"/>
      <c r="K2" s="423"/>
      <c r="L2" s="423"/>
      <c r="M2" s="423"/>
      <c r="N2" s="423"/>
      <c r="O2" s="24"/>
      <c r="P2" s="24"/>
      <c r="Q2" s="24"/>
      <c r="R2" s="24"/>
    </row>
    <row r="3" spans="2:18" ht="15.75" customHeight="1" x14ac:dyDescent="0.25">
      <c r="B3" s="575" t="s">
        <v>165</v>
      </c>
      <c r="C3" s="576"/>
      <c r="D3" s="576"/>
      <c r="E3" s="576"/>
      <c r="F3" s="576"/>
      <c r="G3" s="576"/>
      <c r="H3" s="576"/>
      <c r="I3" s="576"/>
      <c r="J3" s="576"/>
      <c r="K3" s="576"/>
      <c r="L3" s="576"/>
      <c r="M3" s="576"/>
      <c r="N3" s="577"/>
      <c r="O3" s="32"/>
      <c r="P3" s="32"/>
      <c r="Q3" s="32"/>
      <c r="R3" s="32"/>
    </row>
    <row r="4" spans="2:18" ht="72" customHeight="1" x14ac:dyDescent="0.25">
      <c r="B4" s="73"/>
      <c r="C4" s="74"/>
      <c r="D4" s="74"/>
      <c r="E4" s="74"/>
      <c r="F4" s="692" t="s">
        <v>256</v>
      </c>
      <c r="G4" s="692"/>
      <c r="H4" s="692"/>
      <c r="I4" s="75"/>
      <c r="J4" s="75"/>
      <c r="K4" s="29" t="s">
        <v>218</v>
      </c>
      <c r="L4" s="28"/>
      <c r="M4" s="29"/>
      <c r="N4" s="26" t="s">
        <v>229</v>
      </c>
      <c r="O4" s="32"/>
      <c r="P4" s="32"/>
      <c r="Q4" s="32"/>
      <c r="R4" s="32"/>
    </row>
    <row r="5" spans="2:18" x14ac:dyDescent="0.25">
      <c r="B5" s="25" t="s">
        <v>26</v>
      </c>
      <c r="C5" s="32" t="s">
        <v>30</v>
      </c>
      <c r="D5" s="32"/>
      <c r="E5" s="32"/>
      <c r="F5" s="32"/>
      <c r="G5" s="32"/>
      <c r="H5" s="32"/>
      <c r="I5" s="32"/>
      <c r="J5" s="14"/>
      <c r="K5" s="24" t="s">
        <v>25</v>
      </c>
      <c r="L5" s="76"/>
      <c r="M5" s="24"/>
      <c r="N5" s="23" t="s">
        <v>22</v>
      </c>
    </row>
    <row r="6" spans="2:18" ht="30.75" customHeight="1" x14ac:dyDescent="0.25">
      <c r="B6" s="22" t="s">
        <v>24</v>
      </c>
      <c r="C6" s="72" t="s">
        <v>47</v>
      </c>
      <c r="D6" s="71"/>
      <c r="E6" s="71"/>
      <c r="F6" s="71"/>
      <c r="G6" s="71"/>
      <c r="H6" s="71"/>
      <c r="I6" s="72"/>
      <c r="J6" s="21"/>
      <c r="K6" s="20" t="s">
        <v>23</v>
      </c>
      <c r="L6" s="77"/>
      <c r="M6" s="20"/>
      <c r="N6" s="19" t="s">
        <v>22</v>
      </c>
    </row>
    <row r="7" spans="2:18" ht="30.75" customHeight="1" x14ac:dyDescent="0.25">
      <c r="B7" s="276" t="s">
        <v>29</v>
      </c>
      <c r="C7" s="500" t="s">
        <v>19</v>
      </c>
      <c r="D7" s="501"/>
      <c r="E7" s="501"/>
      <c r="F7" s="501"/>
      <c r="G7" s="501"/>
      <c r="H7" s="501"/>
      <c r="I7" s="502"/>
      <c r="J7" s="249" t="s">
        <v>21</v>
      </c>
      <c r="K7" s="249" t="s">
        <v>20</v>
      </c>
      <c r="L7" s="18" t="s">
        <v>18</v>
      </c>
      <c r="M7" s="643" t="s">
        <v>17</v>
      </c>
      <c r="N7" s="643"/>
    </row>
    <row r="8" spans="2:18" ht="39" customHeight="1" x14ac:dyDescent="0.25">
      <c r="B8" s="277"/>
      <c r="C8" s="278"/>
      <c r="D8" s="92"/>
      <c r="E8" s="92"/>
      <c r="F8" s="92"/>
      <c r="G8" s="92"/>
      <c r="H8" s="92"/>
      <c r="I8" s="92"/>
      <c r="J8" s="33"/>
      <c r="K8" s="16"/>
      <c r="L8" s="17"/>
      <c r="M8" s="16"/>
      <c r="N8" s="15"/>
    </row>
    <row r="9" spans="2:18" ht="15.75" customHeight="1" x14ac:dyDescent="0.25">
      <c r="B9" s="78"/>
      <c r="C9" s="523" t="s">
        <v>233</v>
      </c>
      <c r="D9" s="524"/>
      <c r="E9" s="524"/>
      <c r="F9" s="524"/>
      <c r="G9" s="524"/>
      <c r="H9" s="524"/>
      <c r="I9" s="525"/>
      <c r="J9" s="34"/>
      <c r="K9" s="25"/>
      <c r="L9" s="79"/>
      <c r="M9" s="25"/>
      <c r="N9" s="80"/>
    </row>
    <row r="10" spans="2:18" ht="15.75" customHeight="1" x14ac:dyDescent="0.25">
      <c r="B10" s="78"/>
      <c r="C10" s="523"/>
      <c r="D10" s="524"/>
      <c r="E10" s="524"/>
      <c r="F10" s="524"/>
      <c r="G10" s="524"/>
      <c r="H10" s="524"/>
      <c r="I10" s="525"/>
      <c r="J10" s="34"/>
      <c r="K10" s="25"/>
      <c r="L10" s="79"/>
      <c r="M10" s="25"/>
      <c r="N10" s="80"/>
    </row>
    <row r="11" spans="2:18" ht="27.75" customHeight="1" x14ac:dyDescent="0.25">
      <c r="B11" s="78"/>
      <c r="C11" s="562"/>
      <c r="D11" s="527"/>
      <c r="E11" s="527"/>
      <c r="F11" s="527"/>
      <c r="G11" s="527"/>
      <c r="H11" s="255"/>
      <c r="I11" s="14"/>
      <c r="J11" s="35"/>
      <c r="K11" s="25"/>
      <c r="L11" s="79"/>
      <c r="M11" s="25"/>
      <c r="N11" s="80"/>
    </row>
    <row r="12" spans="2:18" ht="15.75" customHeight="1" x14ac:dyDescent="0.25">
      <c r="B12" s="78"/>
      <c r="C12" s="527"/>
      <c r="D12" s="527"/>
      <c r="E12" s="527"/>
      <c r="F12" s="527"/>
      <c r="G12" s="527"/>
      <c r="H12" s="255"/>
      <c r="I12" s="14"/>
      <c r="J12" s="35"/>
      <c r="K12" s="25"/>
      <c r="L12" s="79"/>
      <c r="M12" s="25"/>
      <c r="N12" s="80"/>
    </row>
    <row r="13" spans="2:18" ht="15.75" customHeight="1" x14ac:dyDescent="0.25">
      <c r="B13" s="78"/>
      <c r="C13" s="690" t="s">
        <v>232</v>
      </c>
      <c r="D13" s="564"/>
      <c r="E13" s="564"/>
      <c r="F13" s="564"/>
      <c r="G13" s="564"/>
      <c r="H13" s="564"/>
      <c r="I13" s="439"/>
      <c r="J13" s="279"/>
      <c r="K13" s="25"/>
      <c r="L13" s="79"/>
      <c r="M13" s="25"/>
      <c r="N13" s="80"/>
    </row>
    <row r="14" spans="2:18" ht="15.75" customHeight="1" x14ac:dyDescent="0.25">
      <c r="B14" s="78"/>
      <c r="C14" s="690" t="s">
        <v>234</v>
      </c>
      <c r="D14" s="691"/>
      <c r="E14" s="298"/>
      <c r="F14" s="298"/>
      <c r="G14" s="298"/>
      <c r="H14" s="298"/>
      <c r="I14" s="297"/>
      <c r="J14" s="279"/>
      <c r="K14" s="25"/>
      <c r="L14" s="79"/>
      <c r="M14" s="25"/>
      <c r="N14" s="80"/>
    </row>
    <row r="15" spans="2:18" ht="15.75" customHeight="1" x14ac:dyDescent="0.25">
      <c r="B15" s="78"/>
      <c r="C15" s="438" t="s">
        <v>230</v>
      </c>
      <c r="D15" s="564"/>
      <c r="E15" s="564"/>
      <c r="F15" s="564"/>
      <c r="G15" s="564"/>
      <c r="H15" s="564"/>
      <c r="I15" s="439"/>
      <c r="J15" s="279"/>
      <c r="K15" s="25"/>
      <c r="L15" s="79"/>
      <c r="M15" s="25"/>
      <c r="N15" s="80"/>
    </row>
    <row r="16" spans="2:18" ht="15.75" customHeight="1" x14ac:dyDescent="0.25">
      <c r="B16" s="78"/>
      <c r="C16" s="527"/>
      <c r="D16" s="527"/>
      <c r="E16" s="527"/>
      <c r="F16" s="527"/>
      <c r="G16" s="527"/>
      <c r="H16" s="255"/>
      <c r="I16" s="14"/>
      <c r="J16" s="35"/>
      <c r="K16" s="25"/>
      <c r="L16" s="79"/>
      <c r="M16" s="25"/>
      <c r="N16" s="80"/>
    </row>
    <row r="17" spans="2:14" ht="15.75" customHeight="1" x14ac:dyDescent="0.25">
      <c r="B17" s="78"/>
      <c r="C17" s="565" t="s">
        <v>16</v>
      </c>
      <c r="D17" s="566"/>
      <c r="E17" s="566"/>
      <c r="F17" s="566"/>
      <c r="G17" s="566"/>
      <c r="H17" s="251"/>
      <c r="I17" s="281"/>
      <c r="J17" s="37"/>
      <c r="K17" s="25"/>
      <c r="L17" s="79"/>
      <c r="M17" s="25"/>
      <c r="N17" s="80"/>
    </row>
    <row r="18" spans="2:14" ht="15.6" customHeight="1" x14ac:dyDescent="0.25">
      <c r="B18" s="78"/>
      <c r="C18" s="256" t="s">
        <v>15</v>
      </c>
      <c r="D18" s="256" t="s">
        <v>14</v>
      </c>
      <c r="E18" s="256" t="s">
        <v>13</v>
      </c>
      <c r="F18" s="256" t="s">
        <v>12</v>
      </c>
      <c r="G18" s="469" t="s">
        <v>11</v>
      </c>
      <c r="H18" s="469"/>
      <c r="I18" s="280" t="s">
        <v>10</v>
      </c>
      <c r="J18" s="36"/>
      <c r="K18" s="25"/>
      <c r="L18" s="79"/>
      <c r="M18" s="25"/>
      <c r="N18" s="80"/>
    </row>
    <row r="19" spans="2:14" ht="45" customHeight="1" x14ac:dyDescent="0.25">
      <c r="B19" s="78"/>
      <c r="C19" s="494">
        <v>25</v>
      </c>
      <c r="D19" s="220" t="s">
        <v>144</v>
      </c>
      <c r="E19" s="220" t="s">
        <v>145</v>
      </c>
      <c r="F19" s="282" t="s">
        <v>231</v>
      </c>
      <c r="G19" s="506" t="s">
        <v>146</v>
      </c>
      <c r="H19" s="506"/>
      <c r="I19" s="299"/>
      <c r="J19" s="219">
        <v>25</v>
      </c>
      <c r="K19" s="25" t="s">
        <v>55</v>
      </c>
      <c r="L19" s="81">
        <v>180</v>
      </c>
      <c r="M19" s="25"/>
      <c r="N19" s="82">
        <f>J19*L19*4</f>
        <v>18000</v>
      </c>
    </row>
    <row r="20" spans="2:14" ht="50.25" customHeight="1" x14ac:dyDescent="0.25">
      <c r="B20" s="78"/>
      <c r="C20" s="495"/>
      <c r="D20" s="220" t="s">
        <v>9</v>
      </c>
      <c r="E20" s="220" t="s">
        <v>147</v>
      </c>
      <c r="F20" s="282" t="s">
        <v>231</v>
      </c>
      <c r="G20" s="506" t="s">
        <v>148</v>
      </c>
      <c r="H20" s="506"/>
      <c r="I20" s="300"/>
      <c r="J20" s="219">
        <v>25</v>
      </c>
      <c r="K20" s="25" t="s">
        <v>55</v>
      </c>
      <c r="L20" s="79">
        <v>380</v>
      </c>
      <c r="M20" s="25"/>
      <c r="N20" s="82">
        <f t="shared" ref="N20:N21" si="0">J20*L20*4</f>
        <v>38000</v>
      </c>
    </row>
    <row r="21" spans="2:14" ht="57.75" customHeight="1" x14ac:dyDescent="0.25">
      <c r="B21" s="78"/>
      <c r="C21" s="495"/>
      <c r="D21" s="220" t="s">
        <v>149</v>
      </c>
      <c r="E21" s="220" t="s">
        <v>145</v>
      </c>
      <c r="F21" s="282" t="s">
        <v>231</v>
      </c>
      <c r="G21" s="506" t="s">
        <v>150</v>
      </c>
      <c r="H21" s="506"/>
      <c r="I21" s="301"/>
      <c r="J21" s="219">
        <v>25</v>
      </c>
      <c r="K21" s="25" t="s">
        <v>55</v>
      </c>
      <c r="L21" s="79">
        <v>180</v>
      </c>
      <c r="M21" s="25"/>
      <c r="N21" s="82">
        <f t="shared" si="0"/>
        <v>18000</v>
      </c>
    </row>
    <row r="22" spans="2:14" ht="46.5" customHeight="1" x14ac:dyDescent="0.25">
      <c r="B22" s="78"/>
      <c r="C22" s="529"/>
      <c r="D22" s="530"/>
      <c r="E22" s="530"/>
      <c r="F22" s="530"/>
      <c r="G22" s="530"/>
      <c r="H22" s="530"/>
      <c r="I22" s="473"/>
      <c r="J22" s="257"/>
      <c r="K22" s="25"/>
      <c r="L22" s="79"/>
      <c r="M22" s="25"/>
      <c r="N22" s="80"/>
    </row>
    <row r="23" spans="2:14" ht="15.75" customHeight="1" x14ac:dyDescent="0.25">
      <c r="B23" s="78"/>
      <c r="C23" s="644"/>
      <c r="D23" s="645"/>
      <c r="E23" s="645"/>
      <c r="F23" s="645"/>
      <c r="G23" s="645"/>
      <c r="H23" s="645"/>
      <c r="I23" s="646"/>
      <c r="J23" s="257"/>
      <c r="K23" s="25"/>
      <c r="L23" s="79"/>
      <c r="M23" s="25"/>
      <c r="N23" s="80"/>
    </row>
    <row r="24" spans="2:14" ht="15.75" customHeight="1" x14ac:dyDescent="0.25">
      <c r="B24" s="78"/>
      <c r="C24" s="523" t="s">
        <v>151</v>
      </c>
      <c r="D24" s="524"/>
      <c r="E24" s="524"/>
      <c r="F24" s="524"/>
      <c r="G24" s="524"/>
      <c r="H24" s="524"/>
      <c r="I24" s="525"/>
      <c r="J24" s="257"/>
      <c r="K24" s="25"/>
      <c r="L24" s="79"/>
      <c r="M24" s="25"/>
      <c r="N24" s="80"/>
    </row>
    <row r="25" spans="2:14" ht="21" customHeight="1" x14ac:dyDescent="0.25">
      <c r="B25" s="78"/>
      <c r="C25" s="526" t="s">
        <v>152</v>
      </c>
      <c r="D25" s="527"/>
      <c r="E25" s="527"/>
      <c r="F25" s="527"/>
      <c r="G25" s="527"/>
      <c r="H25" s="527"/>
      <c r="I25" s="527"/>
      <c r="J25" s="284"/>
      <c r="K25" s="25"/>
      <c r="L25" s="79"/>
      <c r="M25" s="25"/>
      <c r="N25" s="80"/>
    </row>
    <row r="26" spans="2:14" ht="21" customHeight="1" x14ac:dyDescent="0.25">
      <c r="B26" s="78"/>
      <c r="C26" s="526" t="s">
        <v>153</v>
      </c>
      <c r="D26" s="527"/>
      <c r="E26" s="527"/>
      <c r="F26" s="527"/>
      <c r="G26" s="527"/>
      <c r="H26" s="527"/>
      <c r="I26" s="528"/>
      <c r="J26" s="35"/>
      <c r="K26" s="25"/>
      <c r="L26" s="79"/>
      <c r="M26" s="25"/>
      <c r="N26" s="80"/>
    </row>
    <row r="27" spans="2:14" ht="21" customHeight="1" x14ac:dyDescent="0.25">
      <c r="B27" s="78"/>
      <c r="C27" s="526" t="s">
        <v>154</v>
      </c>
      <c r="D27" s="527"/>
      <c r="E27" s="527"/>
      <c r="F27" s="527"/>
      <c r="G27" s="527"/>
      <c r="H27" s="527"/>
      <c r="I27" s="528"/>
      <c r="J27" s="284"/>
      <c r="K27" s="25"/>
      <c r="L27" s="79"/>
      <c r="M27" s="25"/>
      <c r="N27" s="80"/>
    </row>
    <row r="28" spans="2:14" ht="21" customHeight="1" x14ac:dyDescent="0.25">
      <c r="B28" s="78"/>
      <c r="C28" s="526"/>
      <c r="D28" s="527"/>
      <c r="E28" s="527"/>
      <c r="F28" s="527"/>
      <c r="G28" s="527"/>
      <c r="H28" s="527"/>
      <c r="I28" s="528"/>
      <c r="J28" s="284"/>
      <c r="K28" s="25"/>
      <c r="L28" s="79"/>
      <c r="M28" s="25"/>
      <c r="N28" s="80"/>
    </row>
    <row r="29" spans="2:14" ht="21" customHeight="1" x14ac:dyDescent="0.25">
      <c r="B29" s="78"/>
      <c r="C29" s="677"/>
      <c r="D29" s="678"/>
      <c r="E29" s="678"/>
      <c r="F29" s="678"/>
      <c r="G29" s="678"/>
      <c r="H29" s="678"/>
      <c r="I29" s="679"/>
      <c r="J29" s="35"/>
      <c r="K29" s="25"/>
      <c r="L29" s="79"/>
      <c r="M29" s="25"/>
      <c r="N29" s="80"/>
    </row>
    <row r="30" spans="2:14" ht="21" customHeight="1" x14ac:dyDescent="0.25">
      <c r="B30" s="78"/>
      <c r="C30" s="523" t="s">
        <v>155</v>
      </c>
      <c r="D30" s="524"/>
      <c r="E30" s="524"/>
      <c r="F30" s="524"/>
      <c r="G30" s="524"/>
      <c r="H30" s="524"/>
      <c r="I30" s="525"/>
      <c r="J30" s="37"/>
      <c r="K30" s="25"/>
      <c r="L30" s="79"/>
      <c r="M30" s="25"/>
      <c r="N30" s="80"/>
    </row>
    <row r="31" spans="2:14" ht="15.75" customHeight="1" x14ac:dyDescent="0.25">
      <c r="B31" s="78"/>
      <c r="C31" s="675" t="s">
        <v>167</v>
      </c>
      <c r="D31" s="676"/>
      <c r="E31" s="676"/>
      <c r="F31" s="676"/>
      <c r="G31" s="676"/>
      <c r="H31" s="676"/>
      <c r="I31" s="676"/>
      <c r="J31" s="285"/>
      <c r="K31" s="25"/>
      <c r="L31" s="79"/>
      <c r="M31" s="25"/>
      <c r="N31" s="80"/>
    </row>
    <row r="32" spans="2:14" ht="15.75" customHeight="1" x14ac:dyDescent="0.25">
      <c r="B32" s="78"/>
      <c r="C32" s="526" t="s">
        <v>156</v>
      </c>
      <c r="D32" s="527"/>
      <c r="E32" s="527"/>
      <c r="F32" s="527"/>
      <c r="G32" s="527"/>
      <c r="H32" s="527"/>
      <c r="I32" s="528"/>
      <c r="J32" s="35"/>
      <c r="K32" s="25"/>
      <c r="L32" s="79"/>
      <c r="M32" s="25"/>
      <c r="N32" s="80"/>
    </row>
    <row r="33" spans="1:14" ht="15.75" customHeight="1" x14ac:dyDescent="0.25">
      <c r="B33" s="78"/>
      <c r="C33" s="675" t="s">
        <v>157</v>
      </c>
      <c r="D33" s="676"/>
      <c r="E33" s="676"/>
      <c r="F33" s="676"/>
      <c r="G33" s="676"/>
      <c r="H33" s="676"/>
      <c r="I33" s="676"/>
      <c r="J33" s="285"/>
      <c r="K33" s="25"/>
      <c r="L33" s="79"/>
      <c r="M33" s="25"/>
      <c r="N33" s="80"/>
    </row>
    <row r="34" spans="1:14" ht="15.75" customHeight="1" x14ac:dyDescent="0.25">
      <c r="B34" s="78"/>
      <c r="C34" s="675" t="s">
        <v>158</v>
      </c>
      <c r="D34" s="676"/>
      <c r="E34" s="676"/>
      <c r="F34" s="676"/>
      <c r="G34" s="676"/>
      <c r="H34" s="676"/>
      <c r="I34" s="680"/>
      <c r="J34" s="285"/>
      <c r="K34" s="25"/>
      <c r="L34" s="79"/>
      <c r="M34" s="25"/>
      <c r="N34" s="80"/>
    </row>
    <row r="35" spans="1:14" ht="15.75" customHeight="1" x14ac:dyDescent="0.25">
      <c r="B35" s="78"/>
      <c r="C35" s="675"/>
      <c r="D35" s="676"/>
      <c r="E35" s="676"/>
      <c r="F35" s="676"/>
      <c r="G35" s="676"/>
      <c r="H35" s="676"/>
      <c r="I35" s="680"/>
      <c r="J35" s="285"/>
      <c r="K35" s="25"/>
      <c r="L35" s="79"/>
      <c r="M35" s="25"/>
      <c r="N35" s="80"/>
    </row>
    <row r="36" spans="1:14" ht="15.75" customHeight="1" x14ac:dyDescent="0.25">
      <c r="B36" s="78"/>
      <c r="C36" s="675" t="s">
        <v>159</v>
      </c>
      <c r="D36" s="676"/>
      <c r="E36" s="676"/>
      <c r="F36" s="676"/>
      <c r="G36" s="676"/>
      <c r="H36" s="676"/>
      <c r="I36" s="676"/>
      <c r="J36" s="285"/>
      <c r="K36" s="25"/>
      <c r="L36" s="79"/>
      <c r="M36" s="25"/>
      <c r="N36" s="80"/>
    </row>
    <row r="37" spans="1:14" ht="15.75" customHeight="1" x14ac:dyDescent="0.25">
      <c r="B37" s="78"/>
      <c r="C37" s="620" t="s">
        <v>160</v>
      </c>
      <c r="D37" s="621"/>
      <c r="E37" s="621"/>
      <c r="F37" s="621"/>
      <c r="G37" s="621"/>
      <c r="H37" s="621"/>
      <c r="I37" s="621"/>
      <c r="J37" s="286"/>
      <c r="K37" s="25"/>
      <c r="L37" s="79"/>
      <c r="M37" s="25"/>
      <c r="N37" s="80"/>
    </row>
    <row r="38" spans="1:14" ht="15.75" customHeight="1" x14ac:dyDescent="0.25">
      <c r="B38" s="78"/>
      <c r="C38" s="526" t="s">
        <v>161</v>
      </c>
      <c r="D38" s="527"/>
      <c r="E38" s="527"/>
      <c r="F38" s="527"/>
      <c r="G38" s="527"/>
      <c r="H38" s="255"/>
      <c r="I38" s="14"/>
      <c r="J38" s="35"/>
      <c r="K38" s="25"/>
      <c r="L38" s="79"/>
      <c r="M38" s="25"/>
      <c r="N38" s="80"/>
    </row>
    <row r="39" spans="1:14" ht="15.75" customHeight="1" x14ac:dyDescent="0.25">
      <c r="B39" s="78"/>
      <c r="C39" s="681"/>
      <c r="D39" s="682"/>
      <c r="E39" s="682"/>
      <c r="F39" s="682"/>
      <c r="G39" s="682"/>
      <c r="H39" s="682"/>
      <c r="I39" s="683"/>
      <c r="J39" s="35"/>
      <c r="K39" s="25"/>
      <c r="L39" s="79"/>
      <c r="M39" s="25"/>
      <c r="N39" s="80"/>
    </row>
    <row r="40" spans="1:14" ht="15.75" customHeight="1" x14ac:dyDescent="0.25">
      <c r="B40" s="78"/>
      <c r="C40" s="681"/>
      <c r="D40" s="682"/>
      <c r="E40" s="682"/>
      <c r="F40" s="682"/>
      <c r="G40" s="682"/>
      <c r="H40" s="682"/>
      <c r="I40" s="683"/>
      <c r="J40" s="35"/>
      <c r="K40" s="25"/>
      <c r="L40" s="79"/>
      <c r="M40" s="25"/>
      <c r="N40" s="80"/>
    </row>
    <row r="41" spans="1:14" ht="15.75" customHeight="1" x14ac:dyDescent="0.25">
      <c r="B41" s="78"/>
      <c r="C41" s="523" t="s">
        <v>162</v>
      </c>
      <c r="D41" s="524"/>
      <c r="E41" s="524"/>
      <c r="F41" s="524"/>
      <c r="G41" s="524"/>
      <c r="H41" s="251"/>
      <c r="I41" s="281"/>
      <c r="J41" s="37"/>
      <c r="K41" s="25"/>
      <c r="L41" s="79"/>
      <c r="M41" s="25"/>
      <c r="N41" s="80"/>
    </row>
    <row r="42" spans="1:14" ht="15.75" customHeight="1" x14ac:dyDescent="0.25">
      <c r="B42" s="78"/>
      <c r="C42" s="526" t="s">
        <v>163</v>
      </c>
      <c r="D42" s="527"/>
      <c r="E42" s="527"/>
      <c r="F42" s="527"/>
      <c r="G42" s="527"/>
      <c r="H42" s="255"/>
      <c r="I42" s="14"/>
      <c r="J42" s="35"/>
      <c r="K42" s="25"/>
      <c r="L42" s="79"/>
      <c r="M42" s="25"/>
      <c r="N42" s="80"/>
    </row>
    <row r="43" spans="1:14" ht="15.75" customHeight="1" x14ac:dyDescent="0.25">
      <c r="B43" s="78"/>
      <c r="C43" s="526" t="s">
        <v>164</v>
      </c>
      <c r="D43" s="527"/>
      <c r="E43" s="527"/>
      <c r="F43" s="527"/>
      <c r="G43" s="527"/>
      <c r="H43" s="255"/>
      <c r="I43" s="14"/>
      <c r="J43" s="35"/>
      <c r="K43" s="25"/>
      <c r="L43" s="79"/>
      <c r="M43" s="25"/>
      <c r="N43" s="80"/>
    </row>
    <row r="44" spans="1:14" ht="15.6" customHeight="1" x14ac:dyDescent="0.25">
      <c r="B44" s="78"/>
      <c r="C44" s="526" t="s">
        <v>168</v>
      </c>
      <c r="D44" s="527"/>
      <c r="E44" s="527"/>
      <c r="F44" s="527"/>
      <c r="G44" s="527"/>
      <c r="H44" s="527"/>
      <c r="I44" s="528"/>
      <c r="J44" s="35"/>
      <c r="K44" s="25"/>
      <c r="L44" s="79"/>
      <c r="M44" s="25"/>
      <c r="N44" s="80"/>
    </row>
    <row r="45" spans="1:14" ht="15.75" customHeight="1" x14ac:dyDescent="0.25">
      <c r="B45" s="78"/>
      <c r="C45" s="526" t="s">
        <v>169</v>
      </c>
      <c r="D45" s="527"/>
      <c r="E45" s="527"/>
      <c r="F45" s="527"/>
      <c r="G45" s="527"/>
      <c r="H45" s="527"/>
      <c r="I45" s="528"/>
      <c r="J45" s="35"/>
      <c r="K45" s="25"/>
      <c r="L45" s="79"/>
      <c r="M45" s="25"/>
      <c r="N45" s="80"/>
    </row>
    <row r="46" spans="1:14" ht="31.5" customHeight="1" x14ac:dyDescent="0.25">
      <c r="B46" s="78"/>
      <c r="C46" s="288"/>
      <c r="D46" s="289"/>
      <c r="E46" s="289"/>
      <c r="F46" s="289"/>
      <c r="G46" s="289"/>
      <c r="H46" s="289"/>
      <c r="I46" s="289"/>
      <c r="J46" s="35"/>
      <c r="K46" s="25"/>
      <c r="L46" s="79"/>
      <c r="M46" s="25"/>
      <c r="N46" s="80"/>
    </row>
    <row r="47" spans="1:14" ht="15.75" customHeight="1" x14ac:dyDescent="0.25">
      <c r="A47" s="302" t="s">
        <v>235</v>
      </c>
      <c r="B47" s="78"/>
      <c r="C47" s="288"/>
      <c r="D47" s="289"/>
      <c r="E47" s="289"/>
      <c r="F47" s="289"/>
      <c r="G47" s="289"/>
      <c r="H47" s="289"/>
      <c r="I47" s="289"/>
      <c r="J47" s="35"/>
      <c r="K47" s="25"/>
      <c r="L47" s="79"/>
      <c r="M47" s="25"/>
      <c r="N47" s="80"/>
    </row>
    <row r="48" spans="1:14" ht="16.5" customHeight="1" x14ac:dyDescent="0.25">
      <c r="B48" s="78"/>
      <c r="C48" s="523" t="s">
        <v>8</v>
      </c>
      <c r="D48" s="524"/>
      <c r="E48" s="524"/>
      <c r="F48" s="524"/>
      <c r="G48" s="524"/>
      <c r="H48" s="251"/>
      <c r="I48" s="281"/>
      <c r="J48" s="37"/>
      <c r="K48" s="25"/>
      <c r="L48" s="79"/>
      <c r="M48" s="25"/>
      <c r="N48" s="80"/>
    </row>
    <row r="49" spans="2:14" ht="15.75" customHeight="1" x14ac:dyDescent="0.25">
      <c r="B49" s="78"/>
      <c r="C49" s="526" t="s">
        <v>7</v>
      </c>
      <c r="D49" s="527"/>
      <c r="E49" s="527"/>
      <c r="F49" s="527"/>
      <c r="G49" s="527"/>
      <c r="H49" s="255"/>
      <c r="I49" s="14"/>
      <c r="J49" s="35"/>
      <c r="K49" s="25"/>
      <c r="L49" s="79"/>
      <c r="M49" s="25"/>
      <c r="N49" s="80"/>
    </row>
    <row r="50" spans="2:14" ht="15.75" customHeight="1" x14ac:dyDescent="0.25">
      <c r="B50" s="83"/>
      <c r="C50" s="475"/>
      <c r="D50" s="518"/>
      <c r="E50" s="518"/>
      <c r="F50" s="518"/>
      <c r="G50" s="518"/>
      <c r="H50" s="253"/>
      <c r="I50" s="287"/>
      <c r="J50" s="84"/>
      <c r="K50" s="22"/>
      <c r="L50" s="85" t="s">
        <v>6</v>
      </c>
      <c r="M50" s="86" t="s">
        <v>5</v>
      </c>
      <c r="N50" s="87">
        <f>SUM(N17:N48)</f>
        <v>74000</v>
      </c>
    </row>
    <row r="51" spans="2:14" x14ac:dyDescent="0.25">
      <c r="B51" s="88" t="s">
        <v>4</v>
      </c>
      <c r="C51" s="585" t="s">
        <v>233</v>
      </c>
      <c r="D51" s="586"/>
      <c r="E51" s="586"/>
      <c r="F51" s="586"/>
      <c r="G51" s="586"/>
      <c r="H51" s="586"/>
      <c r="I51" s="586"/>
      <c r="J51" s="586"/>
      <c r="K51" s="586"/>
      <c r="L51" s="586"/>
      <c r="M51" s="586"/>
      <c r="N51" s="587"/>
    </row>
    <row r="52" spans="2:14" x14ac:dyDescent="0.25">
      <c r="B52" s="73"/>
      <c r="C52" s="445"/>
      <c r="D52" s="444"/>
      <c r="E52" s="444"/>
      <c r="F52" s="444"/>
      <c r="G52" s="444"/>
      <c r="H52" s="444"/>
      <c r="I52" s="446"/>
      <c r="J52" s="441" t="s">
        <v>3</v>
      </c>
      <c r="K52" s="442"/>
      <c r="L52" s="442"/>
      <c r="M52" s="442"/>
      <c r="N52" s="443"/>
    </row>
    <row r="53" spans="2:14" x14ac:dyDescent="0.25">
      <c r="B53" s="78" t="s">
        <v>2</v>
      </c>
      <c r="C53" s="507"/>
      <c r="D53" s="508"/>
      <c r="E53" s="508"/>
      <c r="F53" s="508"/>
      <c r="G53" s="508"/>
      <c r="H53" s="508"/>
      <c r="I53" s="509"/>
      <c r="J53" s="445"/>
      <c r="K53" s="444"/>
      <c r="L53" s="444"/>
      <c r="M53" s="444"/>
      <c r="N53" s="444"/>
    </row>
    <row r="54" spans="2:14" x14ac:dyDescent="0.25">
      <c r="B54" s="78" t="s">
        <v>1</v>
      </c>
      <c r="C54" s="513" t="s">
        <v>216</v>
      </c>
      <c r="D54" s="440"/>
      <c r="E54" s="440"/>
      <c r="F54" s="440"/>
      <c r="G54" s="440"/>
      <c r="H54" s="440"/>
      <c r="I54" s="514"/>
      <c r="J54" s="441" t="s">
        <v>31</v>
      </c>
      <c r="K54" s="442"/>
      <c r="L54" s="442"/>
      <c r="M54" s="442"/>
      <c r="N54" s="443"/>
    </row>
    <row r="55" spans="2:14" x14ac:dyDescent="0.25">
      <c r="B55" s="83" t="s">
        <v>0</v>
      </c>
      <c r="C55" s="507" t="s">
        <v>217</v>
      </c>
      <c r="D55" s="508"/>
      <c r="E55" s="508"/>
      <c r="F55" s="508"/>
      <c r="G55" s="508"/>
      <c r="H55" s="508"/>
      <c r="I55" s="509"/>
      <c r="J55" s="445" t="s">
        <v>32</v>
      </c>
      <c r="K55" s="444"/>
      <c r="L55" s="444"/>
      <c r="M55" s="444"/>
      <c r="N55" s="446"/>
    </row>
  </sheetData>
  <mergeCells count="53">
    <mergeCell ref="C27:I28"/>
    <mergeCell ref="C29:I29"/>
    <mergeCell ref="C55:I55"/>
    <mergeCell ref="J55:N55"/>
    <mergeCell ref="C51:N51"/>
    <mergeCell ref="C52:I52"/>
    <mergeCell ref="J52:N52"/>
    <mergeCell ref="C53:I53"/>
    <mergeCell ref="J53:N53"/>
    <mergeCell ref="C54:I54"/>
    <mergeCell ref="J54:N54"/>
    <mergeCell ref="C43:G43"/>
    <mergeCell ref="C48:G48"/>
    <mergeCell ref="C49:G49"/>
    <mergeCell ref="C50:G50"/>
    <mergeCell ref="C44:I44"/>
    <mergeCell ref="C45:I45"/>
    <mergeCell ref="C37:I37"/>
    <mergeCell ref="C38:G38"/>
    <mergeCell ref="C39:I39"/>
    <mergeCell ref="C40:I40"/>
    <mergeCell ref="C42:G42"/>
    <mergeCell ref="C41:G41"/>
    <mergeCell ref="C36:I36"/>
    <mergeCell ref="C23:I23"/>
    <mergeCell ref="C24:I24"/>
    <mergeCell ref="G18:H18"/>
    <mergeCell ref="C19:C21"/>
    <mergeCell ref="G19:H19"/>
    <mergeCell ref="G20:H20"/>
    <mergeCell ref="C22:I22"/>
    <mergeCell ref="C30:I30"/>
    <mergeCell ref="C31:I31"/>
    <mergeCell ref="C32:I32"/>
    <mergeCell ref="C33:I33"/>
    <mergeCell ref="C34:I35"/>
    <mergeCell ref="G21:H21"/>
    <mergeCell ref="C25:I25"/>
    <mergeCell ref="C26:I26"/>
    <mergeCell ref="C17:G17"/>
    <mergeCell ref="C14:D14"/>
    <mergeCell ref="B1:N1"/>
    <mergeCell ref="B2:N2"/>
    <mergeCell ref="B3:N3"/>
    <mergeCell ref="C7:I7"/>
    <mergeCell ref="M7:N7"/>
    <mergeCell ref="C9:I10"/>
    <mergeCell ref="C11:G11"/>
    <mergeCell ref="C12:G12"/>
    <mergeCell ref="C13:I13"/>
    <mergeCell ref="C15:I15"/>
    <mergeCell ref="C16:G16"/>
    <mergeCell ref="F4:H4"/>
  </mergeCells>
  <printOptions horizontalCentered="1"/>
  <pageMargins left="0.25" right="0.25" top="0.75" bottom="0.75" header="0.3" footer="0.3"/>
  <pageSetup paperSize="9" scale="53"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B1:R47"/>
  <sheetViews>
    <sheetView view="pageBreakPreview" topLeftCell="A8" zoomScale="70" zoomScaleNormal="100" zoomScaleSheetLayoutView="70" workbookViewId="0">
      <selection activeCell="C29" sqref="C29:C3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ht="18" x14ac:dyDescent="0.25">
      <c r="B3" s="685" t="s">
        <v>27</v>
      </c>
      <c r="C3" s="423"/>
      <c r="D3" s="423"/>
      <c r="E3" s="423"/>
      <c r="F3" s="423"/>
      <c r="G3" s="423"/>
      <c r="H3" s="423"/>
      <c r="I3" s="423"/>
      <c r="J3" s="423"/>
      <c r="K3" s="423"/>
      <c r="L3" s="423"/>
      <c r="M3" s="423"/>
      <c r="N3" s="686"/>
      <c r="O3" s="32"/>
      <c r="P3" s="32"/>
      <c r="Q3" s="32"/>
      <c r="R3" s="32"/>
    </row>
    <row r="4" spans="2:18" ht="72" customHeight="1" x14ac:dyDescent="0.25">
      <c r="B4" s="575" t="s">
        <v>165</v>
      </c>
      <c r="C4" s="576"/>
      <c r="D4" s="576"/>
      <c r="E4" s="576"/>
      <c r="F4" s="576"/>
      <c r="G4" s="576"/>
      <c r="H4" s="576"/>
      <c r="I4" s="576"/>
      <c r="J4" s="576"/>
      <c r="K4" s="576"/>
      <c r="L4" s="576"/>
      <c r="M4" s="576"/>
      <c r="N4" s="577"/>
      <c r="O4" s="32"/>
      <c r="P4" s="32"/>
      <c r="Q4" s="32"/>
      <c r="R4" s="32"/>
    </row>
    <row r="5" spans="2:18" x14ac:dyDescent="0.25">
      <c r="B5" s="209"/>
      <c r="C5" s="74"/>
      <c r="D5" s="74"/>
      <c r="E5" s="74"/>
      <c r="F5" s="74"/>
      <c r="G5" s="74"/>
      <c r="H5" s="74"/>
      <c r="I5" s="75"/>
      <c r="J5" s="75"/>
      <c r="K5" s="29" t="s">
        <v>128</v>
      </c>
      <c r="L5" s="28"/>
      <c r="M5" s="29"/>
      <c r="N5" s="264" t="s">
        <v>178</v>
      </c>
    </row>
    <row r="6" spans="2:18" x14ac:dyDescent="0.25">
      <c r="B6" s="177" t="s">
        <v>26</v>
      </c>
      <c r="C6" s="32" t="s">
        <v>30</v>
      </c>
      <c r="D6" s="32"/>
      <c r="E6" s="32"/>
      <c r="F6" s="32"/>
      <c r="G6" s="32"/>
      <c r="H6" s="32"/>
      <c r="I6" s="32"/>
      <c r="J6" s="14"/>
      <c r="K6" s="24" t="s">
        <v>25</v>
      </c>
      <c r="L6" s="76"/>
      <c r="M6" s="24"/>
      <c r="N6" s="265" t="s">
        <v>22</v>
      </c>
    </row>
    <row r="7" spans="2:18" x14ac:dyDescent="0.25">
      <c r="B7" s="179" t="s">
        <v>24</v>
      </c>
      <c r="C7" s="72" t="s">
        <v>47</v>
      </c>
      <c r="D7" s="71"/>
      <c r="E7" s="71"/>
      <c r="F7" s="71"/>
      <c r="G7" s="71"/>
      <c r="H7" s="71"/>
      <c r="I7" s="72"/>
      <c r="J7" s="21"/>
      <c r="K7" s="20" t="s">
        <v>23</v>
      </c>
      <c r="L7" s="77"/>
      <c r="M7" s="20"/>
      <c r="N7" s="266" t="s">
        <v>22</v>
      </c>
    </row>
    <row r="8" spans="2:18" ht="39" customHeight="1" x14ac:dyDescent="0.25">
      <c r="B8" s="267" t="s">
        <v>29</v>
      </c>
      <c r="C8" s="500" t="s">
        <v>19</v>
      </c>
      <c r="D8" s="501"/>
      <c r="E8" s="501"/>
      <c r="F8" s="501"/>
      <c r="G8" s="501"/>
      <c r="H8" s="501"/>
      <c r="I8" s="502"/>
      <c r="J8" s="249" t="s">
        <v>21</v>
      </c>
      <c r="K8" s="249" t="s">
        <v>20</v>
      </c>
      <c r="L8" s="18" t="s">
        <v>18</v>
      </c>
      <c r="M8" s="643" t="s">
        <v>17</v>
      </c>
      <c r="N8" s="673"/>
    </row>
    <row r="9" spans="2:18" x14ac:dyDescent="0.25">
      <c r="B9" s="268"/>
      <c r="C9" s="91"/>
      <c r="D9" s="92"/>
      <c r="E9" s="92"/>
      <c r="F9" s="92"/>
      <c r="G9" s="92"/>
      <c r="H9" s="92"/>
      <c r="I9" s="93"/>
      <c r="J9" s="33"/>
      <c r="K9" s="16"/>
      <c r="L9" s="17"/>
      <c r="M9" s="16"/>
      <c r="N9" s="269"/>
    </row>
    <row r="10" spans="2:18" ht="15.75" customHeight="1" x14ac:dyDescent="0.25">
      <c r="B10" s="177"/>
      <c r="C10" s="523" t="s">
        <v>181</v>
      </c>
      <c r="D10" s="524"/>
      <c r="E10" s="524"/>
      <c r="F10" s="524"/>
      <c r="G10" s="524"/>
      <c r="H10" s="524"/>
      <c r="I10" s="525"/>
      <c r="J10" s="34"/>
      <c r="K10" s="25"/>
      <c r="L10" s="79"/>
      <c r="M10" s="25"/>
      <c r="N10" s="270"/>
    </row>
    <row r="11" spans="2:18" ht="27.75" customHeight="1" x14ac:dyDescent="0.25">
      <c r="B11" s="177"/>
      <c r="C11" s="523"/>
      <c r="D11" s="524"/>
      <c r="E11" s="524"/>
      <c r="F11" s="524"/>
      <c r="G11" s="524"/>
      <c r="H11" s="524"/>
      <c r="I11" s="525"/>
      <c r="J11" s="34"/>
      <c r="K11" s="25"/>
      <c r="L11" s="79"/>
      <c r="M11" s="25"/>
      <c r="N11" s="270"/>
    </row>
    <row r="12" spans="2:18" x14ac:dyDescent="0.25">
      <c r="B12" s="177"/>
      <c r="C12" s="526"/>
      <c r="D12" s="527"/>
      <c r="E12" s="527"/>
      <c r="F12" s="527"/>
      <c r="G12" s="527"/>
      <c r="H12" s="255"/>
      <c r="I12" s="252"/>
      <c r="J12" s="35"/>
      <c r="K12" s="25"/>
      <c r="L12" s="79"/>
      <c r="M12" s="25"/>
      <c r="N12" s="270"/>
    </row>
    <row r="13" spans="2:18" x14ac:dyDescent="0.25">
      <c r="B13" s="177"/>
      <c r="C13" s="561" t="s">
        <v>130</v>
      </c>
      <c r="D13" s="527"/>
      <c r="E13" s="527"/>
      <c r="F13" s="527"/>
      <c r="G13" s="527"/>
      <c r="H13" s="255"/>
      <c r="I13" s="255"/>
      <c r="J13" s="35"/>
      <c r="K13" s="25"/>
      <c r="L13" s="79"/>
      <c r="M13" s="25"/>
      <c r="N13" s="270"/>
    </row>
    <row r="14" spans="2:18" x14ac:dyDescent="0.25">
      <c r="B14" s="177"/>
      <c r="C14" s="526" t="s">
        <v>131</v>
      </c>
      <c r="D14" s="527"/>
      <c r="E14" s="527"/>
      <c r="F14" s="527"/>
      <c r="G14" s="527"/>
      <c r="H14" s="255"/>
      <c r="I14" s="255"/>
      <c r="J14" s="35"/>
      <c r="K14" s="25"/>
      <c r="L14" s="79"/>
      <c r="M14" s="25"/>
      <c r="N14" s="270"/>
    </row>
    <row r="15" spans="2:18" x14ac:dyDescent="0.25">
      <c r="B15" s="177"/>
      <c r="C15" s="438" t="s">
        <v>179</v>
      </c>
      <c r="D15" s="564"/>
      <c r="E15" s="564"/>
      <c r="F15" s="564"/>
      <c r="G15" s="564"/>
      <c r="H15" s="564"/>
      <c r="I15" s="439"/>
      <c r="J15" s="35"/>
      <c r="K15" s="25"/>
      <c r="L15" s="79"/>
      <c r="M15" s="25"/>
      <c r="N15" s="270"/>
    </row>
    <row r="16" spans="2:18" x14ac:dyDescent="0.25">
      <c r="B16" s="177"/>
      <c r="C16" s="254"/>
      <c r="D16" s="255"/>
      <c r="E16" s="255"/>
      <c r="F16" s="255"/>
      <c r="G16" s="255"/>
      <c r="H16" s="255"/>
      <c r="I16" s="252"/>
      <c r="J16" s="35"/>
      <c r="K16" s="25"/>
      <c r="L16" s="79"/>
      <c r="M16" s="25"/>
      <c r="N16" s="270"/>
    </row>
    <row r="17" spans="2:14" ht="15.6" customHeight="1" x14ac:dyDescent="0.25">
      <c r="B17" s="177"/>
      <c r="C17" s="565" t="s">
        <v>16</v>
      </c>
      <c r="D17" s="566"/>
      <c r="E17" s="566"/>
      <c r="F17" s="566"/>
      <c r="G17" s="566"/>
      <c r="H17" s="251"/>
      <c r="I17" s="94"/>
      <c r="J17" s="37"/>
      <c r="K17" s="25"/>
      <c r="L17" s="79"/>
      <c r="M17" s="25"/>
      <c r="N17" s="270"/>
    </row>
    <row r="18" spans="2:14" ht="31.5" x14ac:dyDescent="0.25">
      <c r="B18" s="177"/>
      <c r="C18" s="256" t="s">
        <v>15</v>
      </c>
      <c r="D18" s="256" t="s">
        <v>14</v>
      </c>
      <c r="E18" s="256" t="s">
        <v>13</v>
      </c>
      <c r="F18" s="256" t="s">
        <v>12</v>
      </c>
      <c r="G18" s="469" t="s">
        <v>11</v>
      </c>
      <c r="H18" s="469"/>
      <c r="I18" s="60" t="s">
        <v>10</v>
      </c>
      <c r="J18" s="36"/>
      <c r="K18" s="25"/>
      <c r="L18" s="79"/>
      <c r="M18" s="25"/>
      <c r="N18" s="270"/>
    </row>
    <row r="19" spans="2:14" ht="42" customHeight="1" x14ac:dyDescent="0.25">
      <c r="B19" s="177"/>
      <c r="C19" s="212">
        <v>15</v>
      </c>
      <c r="D19" s="220" t="s">
        <v>51</v>
      </c>
      <c r="E19" s="220" t="s">
        <v>132</v>
      </c>
      <c r="F19" s="150" t="s">
        <v>184</v>
      </c>
      <c r="G19" s="506" t="s">
        <v>80</v>
      </c>
      <c r="H19" s="506"/>
      <c r="I19" s="597" t="s">
        <v>140</v>
      </c>
      <c r="J19" s="219">
        <v>15</v>
      </c>
      <c r="K19" s="90" t="s">
        <v>55</v>
      </c>
      <c r="L19" s="81">
        <v>100</v>
      </c>
      <c r="M19" s="90"/>
      <c r="N19" s="271">
        <f>J19*L19*5</f>
        <v>7500</v>
      </c>
    </row>
    <row r="20" spans="2:14" ht="62.25" customHeight="1" x14ac:dyDescent="0.25">
      <c r="B20" s="177"/>
      <c r="C20" s="212">
        <v>15</v>
      </c>
      <c r="D20" s="220" t="s">
        <v>9</v>
      </c>
      <c r="E20" s="220" t="s">
        <v>132</v>
      </c>
      <c r="F20" s="150" t="s">
        <v>184</v>
      </c>
      <c r="G20" s="506" t="s">
        <v>79</v>
      </c>
      <c r="H20" s="506"/>
      <c r="I20" s="597"/>
      <c r="J20" s="219">
        <v>15</v>
      </c>
      <c r="K20" s="90" t="s">
        <v>55</v>
      </c>
      <c r="L20" s="81">
        <v>200</v>
      </c>
      <c r="M20" s="90"/>
      <c r="N20" s="271">
        <f>J20*L20*5</f>
        <v>15000</v>
      </c>
    </row>
    <row r="21" spans="2:14" ht="51.75" customHeight="1" x14ac:dyDescent="0.25">
      <c r="B21" s="177"/>
      <c r="C21" s="212">
        <v>15</v>
      </c>
      <c r="D21" s="220" t="s">
        <v>133</v>
      </c>
      <c r="E21" s="220" t="s">
        <v>132</v>
      </c>
      <c r="F21" s="150" t="s">
        <v>184</v>
      </c>
      <c r="G21" s="506" t="s">
        <v>96</v>
      </c>
      <c r="H21" s="506"/>
      <c r="I21" s="598"/>
      <c r="J21" s="219">
        <v>15</v>
      </c>
      <c r="K21" s="90" t="s">
        <v>55</v>
      </c>
      <c r="L21" s="98">
        <v>100</v>
      </c>
      <c r="M21" s="90"/>
      <c r="N21" s="271">
        <f t="shared" ref="N21" si="0">J21*L21*5</f>
        <v>7500</v>
      </c>
    </row>
    <row r="22" spans="2:14" ht="15.75" customHeight="1" x14ac:dyDescent="0.25">
      <c r="B22" s="177"/>
      <c r="C22" s="523"/>
      <c r="D22" s="524"/>
      <c r="E22" s="524"/>
      <c r="F22" s="524"/>
      <c r="G22" s="524"/>
      <c r="H22" s="524"/>
      <c r="I22" s="525"/>
      <c r="J22" s="257"/>
      <c r="K22" s="25"/>
      <c r="L22" s="79"/>
      <c r="M22" s="25"/>
      <c r="N22" s="270"/>
    </row>
    <row r="23" spans="2:14" ht="15.75" customHeight="1" x14ac:dyDescent="0.25">
      <c r="B23" s="177"/>
      <c r="C23" s="561" t="s">
        <v>82</v>
      </c>
      <c r="D23" s="562"/>
      <c r="E23" s="562"/>
      <c r="F23" s="562"/>
      <c r="G23" s="562"/>
      <c r="H23" s="562"/>
      <c r="I23" s="563"/>
      <c r="J23" s="257"/>
      <c r="K23" s="25"/>
      <c r="L23" s="79"/>
      <c r="M23" s="25"/>
      <c r="N23" s="270"/>
    </row>
    <row r="24" spans="2:14" ht="21" customHeight="1" x14ac:dyDescent="0.25">
      <c r="B24" s="177"/>
      <c r="C24" s="250"/>
      <c r="D24" s="669"/>
      <c r="E24" s="669"/>
      <c r="F24" s="669"/>
      <c r="G24" s="669"/>
      <c r="H24" s="669"/>
      <c r="I24" s="670"/>
      <c r="J24" s="257"/>
      <c r="K24" s="25"/>
      <c r="L24" s="79"/>
      <c r="M24" s="25"/>
      <c r="N24" s="272"/>
    </row>
    <row r="25" spans="2:14" ht="15.75" customHeight="1" x14ac:dyDescent="0.25">
      <c r="B25" s="177"/>
      <c r="C25" s="250"/>
      <c r="D25" s="251"/>
      <c r="E25" s="251"/>
      <c r="F25" s="251"/>
      <c r="G25" s="251"/>
      <c r="H25" s="251"/>
      <c r="I25" s="116"/>
      <c r="J25" s="257"/>
      <c r="K25" s="25"/>
      <c r="L25" s="79"/>
      <c r="M25" s="25"/>
      <c r="N25" s="270"/>
    </row>
    <row r="26" spans="2:14" ht="15.75" customHeight="1" x14ac:dyDescent="0.25">
      <c r="B26" s="177"/>
      <c r="C26" s="95" t="s">
        <v>134</v>
      </c>
      <c r="D26" s="251"/>
      <c r="E26" s="251"/>
      <c r="F26" s="251"/>
      <c r="G26" s="251"/>
      <c r="H26" s="251"/>
      <c r="I26" s="116"/>
      <c r="J26" s="257"/>
      <c r="K26" s="25"/>
      <c r="L26" s="79"/>
      <c r="M26" s="25"/>
      <c r="N26" s="272"/>
    </row>
    <row r="27" spans="2:14" ht="15.75" customHeight="1" x14ac:dyDescent="0.25">
      <c r="B27" s="177"/>
      <c r="C27" s="95" t="s">
        <v>180</v>
      </c>
      <c r="D27" s="251"/>
      <c r="E27" s="251"/>
      <c r="F27" s="251"/>
      <c r="G27" s="251"/>
      <c r="H27" s="251"/>
      <c r="I27" s="116"/>
      <c r="J27" s="257"/>
      <c r="K27" s="25"/>
      <c r="L27" s="79"/>
      <c r="M27" s="25"/>
      <c r="N27" s="270"/>
    </row>
    <row r="28" spans="2:14" ht="15.75" customHeight="1" x14ac:dyDescent="0.25">
      <c r="B28" s="177"/>
      <c r="C28" s="95"/>
      <c r="D28" s="251"/>
      <c r="E28" s="251"/>
      <c r="F28" s="251"/>
      <c r="G28" s="251"/>
      <c r="H28" s="251"/>
      <c r="I28" s="116"/>
      <c r="J28" s="257"/>
      <c r="K28" s="25"/>
      <c r="L28" s="79"/>
      <c r="M28" s="25"/>
      <c r="N28" s="270"/>
    </row>
    <row r="29" spans="2:14" ht="15.75" customHeight="1" x14ac:dyDescent="0.25">
      <c r="B29" s="177"/>
      <c r="C29" s="96" t="s">
        <v>33</v>
      </c>
      <c r="D29" s="251"/>
      <c r="E29" s="251"/>
      <c r="F29" s="251"/>
      <c r="G29" s="251"/>
      <c r="H29" s="251"/>
      <c r="I29" s="116"/>
      <c r="J29" s="257"/>
      <c r="K29" s="25"/>
      <c r="L29" s="79"/>
      <c r="M29" s="25"/>
      <c r="N29" s="270"/>
    </row>
    <row r="30" spans="2:14" ht="15.75" customHeight="1" x14ac:dyDescent="0.25">
      <c r="B30" s="177"/>
      <c r="C30" s="95" t="s">
        <v>34</v>
      </c>
      <c r="D30" s="251"/>
      <c r="E30" s="251"/>
      <c r="F30" s="251"/>
      <c r="G30" s="251"/>
      <c r="H30" s="251"/>
      <c r="I30" s="116"/>
      <c r="J30" s="257"/>
      <c r="K30" s="25"/>
      <c r="L30" s="79"/>
      <c r="M30" s="25"/>
      <c r="N30" s="270"/>
    </row>
    <row r="31" spans="2:14" ht="15.75" customHeight="1" x14ac:dyDescent="0.25">
      <c r="B31" s="177"/>
      <c r="C31" s="95" t="s">
        <v>35</v>
      </c>
      <c r="D31" s="251"/>
      <c r="E31" s="251"/>
      <c r="F31" s="251"/>
      <c r="G31" s="251"/>
      <c r="H31" s="251"/>
      <c r="I31" s="116"/>
      <c r="J31" s="257"/>
      <c r="K31" s="25"/>
      <c r="L31" s="79"/>
      <c r="M31" s="25"/>
      <c r="N31" s="270"/>
    </row>
    <row r="32" spans="2:14" ht="15.75" customHeight="1" x14ac:dyDescent="0.25">
      <c r="B32" s="177"/>
      <c r="C32" s="95"/>
      <c r="D32" s="251" t="s">
        <v>50</v>
      </c>
      <c r="E32" s="251"/>
      <c r="F32" s="251"/>
      <c r="G32" s="251"/>
      <c r="H32" s="251"/>
      <c r="I32" s="116"/>
      <c r="J32" s="257"/>
      <c r="K32" s="25"/>
      <c r="L32" s="79"/>
      <c r="M32" s="25"/>
      <c r="N32" s="270"/>
    </row>
    <row r="33" spans="2:15" ht="15.75" customHeight="1" x14ac:dyDescent="0.25">
      <c r="B33" s="177"/>
      <c r="C33" s="96" t="s">
        <v>36</v>
      </c>
      <c r="D33" s="251"/>
      <c r="E33" s="251"/>
      <c r="F33" s="251"/>
      <c r="G33" s="251"/>
      <c r="H33" s="251"/>
      <c r="I33" s="116"/>
      <c r="J33" s="257"/>
      <c r="K33" s="25"/>
      <c r="L33" s="79"/>
      <c r="M33" s="25"/>
      <c r="N33" s="270"/>
    </row>
    <row r="34" spans="2:15" ht="15.75" customHeight="1" x14ac:dyDescent="0.25">
      <c r="B34" s="177"/>
      <c r="C34" s="95" t="s">
        <v>37</v>
      </c>
      <c r="D34" s="251"/>
      <c r="E34" s="251"/>
      <c r="F34" s="251"/>
      <c r="G34" s="251"/>
      <c r="H34" s="251"/>
      <c r="I34" s="116"/>
      <c r="J34" s="257"/>
      <c r="K34" s="25"/>
      <c r="L34" s="79"/>
      <c r="M34" s="25"/>
      <c r="N34" s="270"/>
    </row>
    <row r="35" spans="2:15" ht="15.75" customHeight="1" x14ac:dyDescent="0.25">
      <c r="B35" s="177"/>
      <c r="C35" s="95" t="s">
        <v>44</v>
      </c>
      <c r="D35" s="251"/>
      <c r="E35" s="251"/>
      <c r="F35" s="251"/>
      <c r="G35" s="251"/>
      <c r="H35" s="251"/>
      <c r="I35" s="116"/>
      <c r="J35" s="257"/>
      <c r="K35" s="25"/>
      <c r="L35" s="79"/>
      <c r="M35" s="25"/>
      <c r="N35" s="270"/>
    </row>
    <row r="36" spans="2:15" ht="15.75" customHeight="1" x14ac:dyDescent="0.25">
      <c r="B36" s="177"/>
      <c r="C36" s="95"/>
      <c r="D36" s="251"/>
      <c r="E36" s="251"/>
      <c r="F36" s="251"/>
      <c r="G36" s="251"/>
      <c r="H36" s="251"/>
      <c r="I36" s="116"/>
      <c r="J36" s="257"/>
      <c r="K36" s="25"/>
      <c r="L36" s="79"/>
      <c r="M36" s="25"/>
      <c r="N36" s="270"/>
    </row>
    <row r="37" spans="2:15" ht="15.75" customHeight="1" x14ac:dyDescent="0.25">
      <c r="B37" s="177"/>
      <c r="C37" s="250"/>
      <c r="D37" s="251"/>
      <c r="E37" s="251"/>
      <c r="F37" s="251"/>
      <c r="G37" s="251"/>
      <c r="H37" s="251"/>
      <c r="I37" s="116"/>
      <c r="J37" s="257"/>
      <c r="K37" s="25"/>
      <c r="L37" s="79"/>
      <c r="M37" s="25"/>
      <c r="N37" s="270"/>
    </row>
    <row r="38" spans="2:15" ht="15.75" customHeight="1" x14ac:dyDescent="0.25">
      <c r="B38" s="177"/>
      <c r="C38" s="99" t="s">
        <v>8</v>
      </c>
      <c r="D38" s="251"/>
      <c r="E38" s="251"/>
      <c r="F38" s="251"/>
      <c r="G38" s="251"/>
      <c r="H38" s="251"/>
      <c r="I38" s="94"/>
      <c r="J38" s="37"/>
      <c r="K38" s="25"/>
      <c r="L38" s="79"/>
      <c r="M38" s="25"/>
      <c r="N38" s="270"/>
    </row>
    <row r="39" spans="2:15" ht="15.6" customHeight="1" x14ac:dyDescent="0.25">
      <c r="B39" s="179"/>
      <c r="C39" s="22" t="s">
        <v>38</v>
      </c>
      <c r="D39" s="253"/>
      <c r="E39" s="253"/>
      <c r="F39" s="253"/>
      <c r="G39" s="253"/>
      <c r="H39" s="253"/>
      <c r="I39" s="97"/>
      <c r="J39" s="84"/>
      <c r="K39" s="22"/>
      <c r="L39" s="156"/>
      <c r="M39" s="22"/>
      <c r="N39" s="273"/>
    </row>
    <row r="40" spans="2:15" x14ac:dyDescent="0.25">
      <c r="B40" s="179"/>
      <c r="C40" s="475"/>
      <c r="D40" s="518"/>
      <c r="E40" s="518"/>
      <c r="F40" s="518"/>
      <c r="G40" s="518"/>
      <c r="H40" s="253"/>
      <c r="I40" s="97"/>
      <c r="J40" s="84"/>
      <c r="K40" s="22"/>
      <c r="L40" s="85" t="s">
        <v>6</v>
      </c>
      <c r="M40" s="86" t="s">
        <v>5</v>
      </c>
      <c r="N40" s="274">
        <f>SUM(N19:N22)</f>
        <v>30000</v>
      </c>
    </row>
    <row r="41" spans="2:15" ht="31.5" customHeight="1" x14ac:dyDescent="0.25">
      <c r="B41" s="275" t="s">
        <v>4</v>
      </c>
      <c r="C41" s="557" t="s">
        <v>181</v>
      </c>
      <c r="D41" s="558"/>
      <c r="E41" s="558"/>
      <c r="F41" s="558"/>
      <c r="G41" s="558"/>
      <c r="H41" s="558"/>
      <c r="I41" s="558"/>
      <c r="J41" s="558"/>
      <c r="K41" s="558"/>
      <c r="L41" s="558"/>
      <c r="M41" s="558"/>
      <c r="N41" s="559"/>
    </row>
    <row r="42" spans="2:15" x14ac:dyDescent="0.25">
      <c r="B42" s="209"/>
      <c r="C42" s="445"/>
      <c r="D42" s="444"/>
      <c r="E42" s="444"/>
      <c r="F42" s="444"/>
      <c r="G42" s="444"/>
      <c r="H42" s="444"/>
      <c r="I42" s="446"/>
      <c r="J42" s="441" t="s">
        <v>3</v>
      </c>
      <c r="K42" s="442"/>
      <c r="L42" s="442"/>
      <c r="M42" s="442"/>
      <c r="N42" s="550"/>
    </row>
    <row r="43" spans="2:15" x14ac:dyDescent="0.25">
      <c r="B43" s="210" t="s">
        <v>2</v>
      </c>
      <c r="C43" s="507"/>
      <c r="D43" s="508"/>
      <c r="E43" s="508"/>
      <c r="F43" s="508"/>
      <c r="G43" s="508"/>
      <c r="H43" s="508"/>
      <c r="I43" s="509"/>
      <c r="J43" s="445"/>
      <c r="K43" s="444"/>
      <c r="L43" s="444"/>
      <c r="M43" s="444"/>
      <c r="N43" s="560"/>
    </row>
    <row r="44" spans="2:15" ht="15.75" customHeight="1" x14ac:dyDescent="0.25">
      <c r="B44" s="210" t="s">
        <v>1</v>
      </c>
      <c r="C44" s="513" t="s">
        <v>48</v>
      </c>
      <c r="D44" s="440"/>
      <c r="E44" s="440"/>
      <c r="F44" s="440"/>
      <c r="G44" s="440"/>
      <c r="H44" s="440"/>
      <c r="I44" s="514"/>
      <c r="J44" s="441" t="s">
        <v>31</v>
      </c>
      <c r="K44" s="442"/>
      <c r="L44" s="442"/>
      <c r="M44" s="442"/>
      <c r="N44" s="550"/>
    </row>
    <row r="45" spans="2:15" ht="15.75" customHeight="1" thickBot="1" x14ac:dyDescent="0.3">
      <c r="B45" s="211" t="s">
        <v>0</v>
      </c>
      <c r="C45" s="551" t="s">
        <v>52</v>
      </c>
      <c r="D45" s="552"/>
      <c r="E45" s="552"/>
      <c r="F45" s="552"/>
      <c r="G45" s="552"/>
      <c r="H45" s="552"/>
      <c r="I45" s="553"/>
      <c r="J45" s="554" t="s">
        <v>32</v>
      </c>
      <c r="K45" s="555"/>
      <c r="L45" s="555"/>
      <c r="M45" s="555"/>
      <c r="N45" s="556"/>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44:I44"/>
    <mergeCell ref="J44:N44"/>
    <mergeCell ref="C45:I45"/>
    <mergeCell ref="J45:N45"/>
    <mergeCell ref="D24:I24"/>
    <mergeCell ref="C40:G40"/>
    <mergeCell ref="C41:N41"/>
    <mergeCell ref="C42:I42"/>
    <mergeCell ref="J42:N42"/>
    <mergeCell ref="C43:I43"/>
    <mergeCell ref="J43:N43"/>
    <mergeCell ref="C23:I23"/>
    <mergeCell ref="C12:G12"/>
    <mergeCell ref="C13:G13"/>
    <mergeCell ref="C14:G14"/>
    <mergeCell ref="C15:I15"/>
    <mergeCell ref="C17:G17"/>
    <mergeCell ref="G18:H18"/>
    <mergeCell ref="G19:H19"/>
    <mergeCell ref="I19:I21"/>
    <mergeCell ref="G20:H20"/>
    <mergeCell ref="G21:H21"/>
    <mergeCell ref="C22:I22"/>
    <mergeCell ref="C10:I11"/>
    <mergeCell ref="B2:N2"/>
    <mergeCell ref="B3:N3"/>
    <mergeCell ref="B4:N4"/>
    <mergeCell ref="C8:I8"/>
    <mergeCell ref="M8:N8"/>
  </mergeCells>
  <printOptions horizontalCentered="1"/>
  <pageMargins left="0.25" right="0.25" top="0.75" bottom="0.75" header="0.3" footer="0.3"/>
  <pageSetup scale="54"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B1:R46"/>
  <sheetViews>
    <sheetView view="pageBreakPreview" zoomScale="70" zoomScaleNormal="100" zoomScaleSheetLayoutView="70" workbookViewId="0">
      <selection activeCell="C28" sqref="C2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ht="18" x14ac:dyDescent="0.25">
      <c r="B3" s="685" t="s">
        <v>27</v>
      </c>
      <c r="C3" s="423"/>
      <c r="D3" s="423"/>
      <c r="E3" s="423"/>
      <c r="F3" s="423"/>
      <c r="G3" s="423"/>
      <c r="H3" s="423"/>
      <c r="I3" s="423"/>
      <c r="J3" s="423"/>
      <c r="K3" s="423"/>
      <c r="L3" s="423"/>
      <c r="M3" s="423"/>
      <c r="N3" s="686"/>
      <c r="O3" s="32"/>
      <c r="P3" s="32"/>
      <c r="Q3" s="32"/>
      <c r="R3" s="32"/>
    </row>
    <row r="4" spans="2:18" ht="72" customHeight="1" x14ac:dyDescent="0.25">
      <c r="B4" s="575" t="s">
        <v>165</v>
      </c>
      <c r="C4" s="576"/>
      <c r="D4" s="576"/>
      <c r="E4" s="576"/>
      <c r="F4" s="576"/>
      <c r="G4" s="576"/>
      <c r="H4" s="576"/>
      <c r="I4" s="576"/>
      <c r="J4" s="576"/>
      <c r="K4" s="576"/>
      <c r="L4" s="576"/>
      <c r="M4" s="576"/>
      <c r="N4" s="577"/>
      <c r="O4" s="32"/>
      <c r="P4" s="32"/>
      <c r="Q4" s="32"/>
      <c r="R4" s="32"/>
    </row>
    <row r="5" spans="2:18" x14ac:dyDescent="0.25">
      <c r="B5" s="209"/>
      <c r="C5" s="74"/>
      <c r="D5" s="74"/>
      <c r="E5" s="74"/>
      <c r="F5" s="74"/>
      <c r="G5" s="74"/>
      <c r="H5" s="74"/>
      <c r="I5" s="75"/>
      <c r="J5" s="75"/>
      <c r="K5" s="29" t="s">
        <v>219</v>
      </c>
      <c r="L5" s="28"/>
      <c r="M5" s="29"/>
      <c r="N5" s="264" t="s">
        <v>236</v>
      </c>
    </row>
    <row r="6" spans="2:18" x14ac:dyDescent="0.25">
      <c r="B6" s="177" t="s">
        <v>26</v>
      </c>
      <c r="C6" s="32" t="s">
        <v>30</v>
      </c>
      <c r="D6" s="32"/>
      <c r="E6" s="32"/>
      <c r="F6" s="32"/>
      <c r="G6" s="32"/>
      <c r="H6" s="32"/>
      <c r="I6" s="32"/>
      <c r="J6" s="14"/>
      <c r="K6" s="24" t="s">
        <v>25</v>
      </c>
      <c r="L6" s="76"/>
      <c r="M6" s="24"/>
      <c r="N6" s="265" t="s">
        <v>22</v>
      </c>
    </row>
    <row r="7" spans="2:18" x14ac:dyDescent="0.25">
      <c r="B7" s="179" t="s">
        <v>24</v>
      </c>
      <c r="C7" s="72" t="s">
        <v>47</v>
      </c>
      <c r="D7" s="71"/>
      <c r="E7" s="71"/>
      <c r="F7" s="71"/>
      <c r="G7" s="71"/>
      <c r="H7" s="71"/>
      <c r="I7" s="72"/>
      <c r="J7" s="21"/>
      <c r="K7" s="20" t="s">
        <v>23</v>
      </c>
      <c r="L7" s="77"/>
      <c r="M7" s="20"/>
      <c r="N7" s="266" t="s">
        <v>22</v>
      </c>
    </row>
    <row r="8" spans="2:18" ht="39" customHeight="1" x14ac:dyDescent="0.25">
      <c r="B8" s="267" t="s">
        <v>29</v>
      </c>
      <c r="C8" s="500" t="s">
        <v>19</v>
      </c>
      <c r="D8" s="501"/>
      <c r="E8" s="501"/>
      <c r="F8" s="501"/>
      <c r="G8" s="501"/>
      <c r="H8" s="501"/>
      <c r="I8" s="502"/>
      <c r="J8" s="249" t="s">
        <v>21</v>
      </c>
      <c r="K8" s="249" t="s">
        <v>20</v>
      </c>
      <c r="L8" s="18" t="s">
        <v>18</v>
      </c>
      <c r="M8" s="643" t="s">
        <v>17</v>
      </c>
      <c r="N8" s="673"/>
    </row>
    <row r="9" spans="2:18" x14ac:dyDescent="0.25">
      <c r="B9" s="268"/>
      <c r="C9" s="91"/>
      <c r="D9" s="92"/>
      <c r="E9" s="92"/>
      <c r="F9" s="92"/>
      <c r="G9" s="92"/>
      <c r="H9" s="92"/>
      <c r="I9" s="93"/>
      <c r="J9" s="33"/>
      <c r="K9" s="16"/>
      <c r="L9" s="17"/>
      <c r="M9" s="16"/>
      <c r="N9" s="269"/>
    </row>
    <row r="10" spans="2:18" ht="15.75" customHeight="1" x14ac:dyDescent="0.25">
      <c r="B10" s="177"/>
      <c r="C10" s="523" t="s">
        <v>237</v>
      </c>
      <c r="D10" s="524"/>
      <c r="E10" s="524"/>
      <c r="F10" s="524"/>
      <c r="G10" s="524"/>
      <c r="H10" s="524"/>
      <c r="I10" s="525"/>
      <c r="J10" s="34"/>
      <c r="K10" s="25"/>
      <c r="L10" s="79"/>
      <c r="M10" s="25"/>
      <c r="N10" s="270"/>
    </row>
    <row r="11" spans="2:18" ht="27.75" customHeight="1" x14ac:dyDescent="0.25">
      <c r="B11" s="177"/>
      <c r="C11" s="523"/>
      <c r="D11" s="524"/>
      <c r="E11" s="524"/>
      <c r="F11" s="524"/>
      <c r="G11" s="524"/>
      <c r="H11" s="524"/>
      <c r="I11" s="525"/>
      <c r="J11" s="34"/>
      <c r="K11" s="25"/>
      <c r="L11" s="79"/>
      <c r="M11" s="25"/>
      <c r="N11" s="270"/>
    </row>
    <row r="12" spans="2:18" x14ac:dyDescent="0.25">
      <c r="B12" s="177"/>
      <c r="C12" s="526"/>
      <c r="D12" s="527"/>
      <c r="E12" s="527"/>
      <c r="F12" s="527"/>
      <c r="G12" s="527"/>
      <c r="H12" s="255"/>
      <c r="I12" s="252"/>
      <c r="J12" s="35"/>
      <c r="K12" s="25"/>
      <c r="L12" s="79"/>
      <c r="M12" s="25"/>
      <c r="N12" s="270"/>
    </row>
    <row r="13" spans="2:18" x14ac:dyDescent="0.25">
      <c r="B13" s="177"/>
      <c r="C13" s="561" t="s">
        <v>130</v>
      </c>
      <c r="D13" s="527"/>
      <c r="E13" s="527"/>
      <c r="F13" s="527"/>
      <c r="G13" s="527"/>
      <c r="H13" s="255"/>
      <c r="I13" s="255"/>
      <c r="J13" s="35"/>
      <c r="K13" s="25"/>
      <c r="L13" s="79"/>
      <c r="M13" s="25"/>
      <c r="N13" s="270"/>
    </row>
    <row r="14" spans="2:18" x14ac:dyDescent="0.25">
      <c r="B14" s="177"/>
      <c r="C14" s="526" t="s">
        <v>131</v>
      </c>
      <c r="D14" s="527"/>
      <c r="E14" s="527"/>
      <c r="F14" s="527"/>
      <c r="G14" s="527"/>
      <c r="H14" s="255"/>
      <c r="I14" s="255"/>
      <c r="J14" s="35"/>
      <c r="K14" s="25"/>
      <c r="L14" s="79"/>
      <c r="M14" s="25"/>
      <c r="N14" s="270"/>
    </row>
    <row r="15" spans="2:18" x14ac:dyDescent="0.25">
      <c r="B15" s="177"/>
      <c r="C15" s="438" t="s">
        <v>238</v>
      </c>
      <c r="D15" s="564"/>
      <c r="E15" s="564"/>
      <c r="F15" s="564"/>
      <c r="G15" s="564"/>
      <c r="H15" s="564"/>
      <c r="I15" s="439"/>
      <c r="J15" s="35"/>
      <c r="K15" s="25"/>
      <c r="L15" s="79"/>
      <c r="M15" s="25"/>
      <c r="N15" s="270"/>
    </row>
    <row r="16" spans="2:18" x14ac:dyDescent="0.25">
      <c r="B16" s="177"/>
      <c r="C16" s="254"/>
      <c r="D16" s="255"/>
      <c r="E16" s="255"/>
      <c r="F16" s="255"/>
      <c r="G16" s="255"/>
      <c r="H16" s="255"/>
      <c r="I16" s="252"/>
      <c r="J16" s="35"/>
      <c r="K16" s="25"/>
      <c r="L16" s="79"/>
      <c r="M16" s="25"/>
      <c r="N16" s="270"/>
    </row>
    <row r="17" spans="2:14" ht="15.6" customHeight="1" x14ac:dyDescent="0.25">
      <c r="B17" s="177"/>
      <c r="C17" s="565" t="s">
        <v>16</v>
      </c>
      <c r="D17" s="566"/>
      <c r="E17" s="566"/>
      <c r="F17" s="566"/>
      <c r="G17" s="566"/>
      <c r="H17" s="251"/>
      <c r="I17" s="94"/>
      <c r="J17" s="37"/>
      <c r="K17" s="25"/>
      <c r="L17" s="79"/>
      <c r="M17" s="25"/>
      <c r="N17" s="270"/>
    </row>
    <row r="18" spans="2:14" ht="31.5" x14ac:dyDescent="0.25">
      <c r="B18" s="177"/>
      <c r="C18" s="256" t="s">
        <v>15</v>
      </c>
      <c r="D18" s="256" t="s">
        <v>14</v>
      </c>
      <c r="E18" s="256" t="s">
        <v>13</v>
      </c>
      <c r="F18" s="256" t="s">
        <v>12</v>
      </c>
      <c r="G18" s="469" t="s">
        <v>11</v>
      </c>
      <c r="H18" s="469"/>
      <c r="I18" s="60" t="s">
        <v>10</v>
      </c>
      <c r="J18" s="36"/>
      <c r="K18" s="25"/>
      <c r="L18" s="79"/>
      <c r="M18" s="25"/>
      <c r="N18" s="270"/>
    </row>
    <row r="19" spans="2:14" ht="42" customHeight="1" x14ac:dyDescent="0.25">
      <c r="B19" s="177"/>
      <c r="C19" s="212">
        <v>40</v>
      </c>
      <c r="D19" s="220" t="s">
        <v>51</v>
      </c>
      <c r="E19" s="220" t="s">
        <v>132</v>
      </c>
      <c r="F19" s="150">
        <v>45104</v>
      </c>
      <c r="G19" s="506" t="s">
        <v>80</v>
      </c>
      <c r="H19" s="506"/>
      <c r="I19" s="693" t="s">
        <v>140</v>
      </c>
      <c r="J19" s="219">
        <v>40</v>
      </c>
      <c r="K19" s="90" t="s">
        <v>55</v>
      </c>
      <c r="L19" s="81">
        <v>100</v>
      </c>
      <c r="M19" s="90"/>
      <c r="N19" s="271">
        <f>J19*L19</f>
        <v>4000</v>
      </c>
    </row>
    <row r="20" spans="2:14" ht="62.25" customHeight="1" x14ac:dyDescent="0.25">
      <c r="B20" s="177"/>
      <c r="C20" s="212">
        <v>40</v>
      </c>
      <c r="D20" s="220" t="s">
        <v>9</v>
      </c>
      <c r="E20" s="220" t="s">
        <v>132</v>
      </c>
      <c r="F20" s="150">
        <v>45104</v>
      </c>
      <c r="G20" s="506" t="s">
        <v>79</v>
      </c>
      <c r="H20" s="506"/>
      <c r="I20" s="598"/>
      <c r="J20" s="219">
        <v>40</v>
      </c>
      <c r="K20" s="90" t="s">
        <v>55</v>
      </c>
      <c r="L20" s="81">
        <v>200</v>
      </c>
      <c r="M20" s="90"/>
      <c r="N20" s="271">
        <f>J20*L20</f>
        <v>8000</v>
      </c>
    </row>
    <row r="21" spans="2:14" ht="15.75" customHeight="1" x14ac:dyDescent="0.25">
      <c r="B21" s="177"/>
      <c r="C21" s="523"/>
      <c r="D21" s="524"/>
      <c r="E21" s="524"/>
      <c r="F21" s="524"/>
      <c r="G21" s="524"/>
      <c r="H21" s="524"/>
      <c r="I21" s="525"/>
      <c r="J21" s="257"/>
      <c r="K21" s="25"/>
      <c r="L21" s="79"/>
      <c r="M21" s="25"/>
      <c r="N21" s="270"/>
    </row>
    <row r="22" spans="2:14" ht="15.75" customHeight="1" x14ac:dyDescent="0.25">
      <c r="B22" s="177"/>
      <c r="C22" s="561" t="s">
        <v>82</v>
      </c>
      <c r="D22" s="562"/>
      <c r="E22" s="562"/>
      <c r="F22" s="562"/>
      <c r="G22" s="562"/>
      <c r="H22" s="562"/>
      <c r="I22" s="563"/>
      <c r="J22" s="257"/>
      <c r="K22" s="25"/>
      <c r="L22" s="79"/>
      <c r="M22" s="25"/>
      <c r="N22" s="270"/>
    </row>
    <row r="23" spans="2:14" ht="21" customHeight="1" x14ac:dyDescent="0.25">
      <c r="B23" s="177"/>
      <c r="C23" s="250"/>
      <c r="D23" s="669"/>
      <c r="E23" s="669"/>
      <c r="F23" s="669"/>
      <c r="G23" s="669"/>
      <c r="H23" s="669"/>
      <c r="I23" s="670"/>
      <c r="J23" s="257"/>
      <c r="K23" s="25"/>
      <c r="L23" s="79"/>
      <c r="M23" s="25"/>
      <c r="N23" s="272"/>
    </row>
    <row r="24" spans="2:14" ht="15.75" customHeight="1" x14ac:dyDescent="0.25">
      <c r="B24" s="177"/>
      <c r="C24" s="250"/>
      <c r="D24" s="251"/>
      <c r="E24" s="251"/>
      <c r="F24" s="251"/>
      <c r="G24" s="251"/>
      <c r="H24" s="251"/>
      <c r="I24" s="116"/>
      <c r="J24" s="257"/>
      <c r="K24" s="25"/>
      <c r="L24" s="79"/>
      <c r="M24" s="25"/>
      <c r="N24" s="270"/>
    </row>
    <row r="25" spans="2:14" ht="15.75" customHeight="1" x14ac:dyDescent="0.25">
      <c r="B25" s="177"/>
      <c r="C25" s="95" t="s">
        <v>134</v>
      </c>
      <c r="D25" s="251"/>
      <c r="E25" s="251"/>
      <c r="F25" s="251"/>
      <c r="G25" s="251"/>
      <c r="H25" s="251"/>
      <c r="I25" s="116"/>
      <c r="J25" s="257"/>
      <c r="K25" s="25"/>
      <c r="L25" s="79"/>
      <c r="M25" s="25"/>
      <c r="N25" s="272"/>
    </row>
    <row r="26" spans="2:14" ht="15.75" customHeight="1" x14ac:dyDescent="0.25">
      <c r="B26" s="177"/>
      <c r="C26" s="95" t="s">
        <v>239</v>
      </c>
      <c r="D26" s="251"/>
      <c r="E26" s="251"/>
      <c r="F26" s="251"/>
      <c r="G26" s="251"/>
      <c r="H26" s="251"/>
      <c r="I26" s="116"/>
      <c r="J26" s="257"/>
      <c r="K26" s="25"/>
      <c r="L26" s="79"/>
      <c r="M26" s="25"/>
      <c r="N26" s="270"/>
    </row>
    <row r="27" spans="2:14" ht="15.75" customHeight="1" x14ac:dyDescent="0.25">
      <c r="B27" s="177"/>
      <c r="C27" s="95"/>
      <c r="D27" s="251"/>
      <c r="E27" s="251"/>
      <c r="F27" s="251"/>
      <c r="G27" s="251"/>
      <c r="H27" s="251"/>
      <c r="I27" s="116"/>
      <c r="J27" s="257"/>
      <c r="K27" s="25"/>
      <c r="L27" s="79"/>
      <c r="M27" s="25"/>
      <c r="N27" s="270"/>
    </row>
    <row r="28" spans="2:14" ht="15.75" customHeight="1" x14ac:dyDescent="0.25">
      <c r="B28" s="177"/>
      <c r="C28" s="96" t="s">
        <v>33</v>
      </c>
      <c r="D28" s="251"/>
      <c r="E28" s="251"/>
      <c r="F28" s="251"/>
      <c r="G28" s="251"/>
      <c r="H28" s="251"/>
      <c r="I28" s="116"/>
      <c r="J28" s="257"/>
      <c r="K28" s="25"/>
      <c r="L28" s="79"/>
      <c r="M28" s="25"/>
      <c r="N28" s="270"/>
    </row>
    <row r="29" spans="2:14" ht="15.75" customHeight="1" x14ac:dyDescent="0.25">
      <c r="B29" s="177"/>
      <c r="C29" s="95" t="s">
        <v>34</v>
      </c>
      <c r="D29" s="251"/>
      <c r="E29" s="251"/>
      <c r="F29" s="251"/>
      <c r="G29" s="251"/>
      <c r="H29" s="251"/>
      <c r="I29" s="116"/>
      <c r="J29" s="257"/>
      <c r="K29" s="25"/>
      <c r="L29" s="79"/>
      <c r="M29" s="25"/>
      <c r="N29" s="270"/>
    </row>
    <row r="30" spans="2:14" ht="15.75" customHeight="1" x14ac:dyDescent="0.25">
      <c r="B30" s="177"/>
      <c r="C30" s="95" t="s">
        <v>35</v>
      </c>
      <c r="D30" s="251"/>
      <c r="E30" s="251"/>
      <c r="F30" s="251"/>
      <c r="G30" s="251"/>
      <c r="H30" s="251"/>
      <c r="I30" s="116"/>
      <c r="J30" s="257"/>
      <c r="K30" s="25"/>
      <c r="L30" s="79"/>
      <c r="M30" s="25"/>
      <c r="N30" s="270"/>
    </row>
    <row r="31" spans="2:14" ht="15.75" customHeight="1" x14ac:dyDescent="0.25">
      <c r="B31" s="177"/>
      <c r="C31" s="95"/>
      <c r="D31" s="251" t="s">
        <v>50</v>
      </c>
      <c r="E31" s="251"/>
      <c r="F31" s="251"/>
      <c r="G31" s="251"/>
      <c r="H31" s="251"/>
      <c r="I31" s="116"/>
      <c r="J31" s="257"/>
      <c r="K31" s="25"/>
      <c r="L31" s="79"/>
      <c r="M31" s="25"/>
      <c r="N31" s="270"/>
    </row>
    <row r="32" spans="2:14" ht="15.75" customHeight="1" x14ac:dyDescent="0.25">
      <c r="B32" s="177"/>
      <c r="C32" s="96" t="s">
        <v>36</v>
      </c>
      <c r="D32" s="251"/>
      <c r="E32" s="251"/>
      <c r="F32" s="251"/>
      <c r="G32" s="251"/>
      <c r="H32" s="251"/>
      <c r="I32" s="116"/>
      <c r="J32" s="257"/>
      <c r="K32" s="25"/>
      <c r="L32" s="79"/>
      <c r="M32" s="25"/>
      <c r="N32" s="270"/>
    </row>
    <row r="33" spans="2:15" ht="15.75" customHeight="1" x14ac:dyDescent="0.25">
      <c r="B33" s="177"/>
      <c r="C33" s="95" t="s">
        <v>37</v>
      </c>
      <c r="D33" s="251"/>
      <c r="E33" s="251"/>
      <c r="F33" s="251"/>
      <c r="G33" s="251"/>
      <c r="H33" s="251"/>
      <c r="I33" s="116"/>
      <c r="J33" s="257"/>
      <c r="K33" s="25"/>
      <c r="L33" s="79"/>
      <c r="M33" s="25"/>
      <c r="N33" s="270"/>
    </row>
    <row r="34" spans="2:15" ht="15.75" customHeight="1" x14ac:dyDescent="0.25">
      <c r="B34" s="177"/>
      <c r="C34" s="95" t="s">
        <v>44</v>
      </c>
      <c r="D34" s="251"/>
      <c r="E34" s="251"/>
      <c r="F34" s="251"/>
      <c r="G34" s="251"/>
      <c r="H34" s="251"/>
      <c r="I34" s="116"/>
      <c r="J34" s="257"/>
      <c r="K34" s="25"/>
      <c r="L34" s="79"/>
      <c r="M34" s="25"/>
      <c r="N34" s="270"/>
    </row>
    <row r="35" spans="2:15" ht="15.75" customHeight="1" x14ac:dyDescent="0.25">
      <c r="B35" s="177"/>
      <c r="C35" s="95"/>
      <c r="D35" s="251"/>
      <c r="E35" s="251"/>
      <c r="F35" s="251"/>
      <c r="G35" s="251"/>
      <c r="H35" s="251"/>
      <c r="I35" s="116"/>
      <c r="J35" s="257"/>
      <c r="K35" s="25"/>
      <c r="L35" s="79"/>
      <c r="M35" s="25"/>
      <c r="N35" s="270"/>
    </row>
    <row r="36" spans="2:15" ht="15.75" customHeight="1" x14ac:dyDescent="0.25">
      <c r="B36" s="177"/>
      <c r="C36" s="250"/>
      <c r="D36" s="251"/>
      <c r="E36" s="251"/>
      <c r="F36" s="251"/>
      <c r="G36" s="251"/>
      <c r="H36" s="251"/>
      <c r="I36" s="116"/>
      <c r="J36" s="257"/>
      <c r="K36" s="25"/>
      <c r="L36" s="79"/>
      <c r="M36" s="25"/>
      <c r="N36" s="270"/>
    </row>
    <row r="37" spans="2:15" ht="15.75" customHeight="1" x14ac:dyDescent="0.25">
      <c r="B37" s="177"/>
      <c r="C37" s="99" t="s">
        <v>8</v>
      </c>
      <c r="D37" s="251"/>
      <c r="E37" s="251"/>
      <c r="F37" s="251"/>
      <c r="G37" s="251"/>
      <c r="H37" s="251"/>
      <c r="I37" s="94"/>
      <c r="J37" s="37"/>
      <c r="K37" s="25"/>
      <c r="L37" s="79"/>
      <c r="M37" s="25"/>
      <c r="N37" s="270"/>
    </row>
    <row r="38" spans="2:15" ht="15.6" customHeight="1" x14ac:dyDescent="0.25">
      <c r="B38" s="179"/>
      <c r="C38" s="22" t="s">
        <v>38</v>
      </c>
      <c r="D38" s="253"/>
      <c r="E38" s="253"/>
      <c r="F38" s="253"/>
      <c r="G38" s="253"/>
      <c r="H38" s="253"/>
      <c r="I38" s="97"/>
      <c r="J38" s="84"/>
      <c r="K38" s="22"/>
      <c r="L38" s="156"/>
      <c r="M38" s="22"/>
      <c r="N38" s="273"/>
    </row>
    <row r="39" spans="2:15" x14ac:dyDescent="0.25">
      <c r="B39" s="179"/>
      <c r="C39" s="475"/>
      <c r="D39" s="518"/>
      <c r="E39" s="518"/>
      <c r="F39" s="518"/>
      <c r="G39" s="518"/>
      <c r="H39" s="253"/>
      <c r="I39" s="97"/>
      <c r="J39" s="84"/>
      <c r="K39" s="22"/>
      <c r="L39" s="85" t="s">
        <v>6</v>
      </c>
      <c r="M39" s="86" t="s">
        <v>5</v>
      </c>
      <c r="N39" s="274">
        <f>SUM(N19:N21)</f>
        <v>12000</v>
      </c>
    </row>
    <row r="40" spans="2:15" ht="31.5" customHeight="1" x14ac:dyDescent="0.25">
      <c r="B40" s="275" t="s">
        <v>4</v>
      </c>
      <c r="C40" s="557" t="s">
        <v>237</v>
      </c>
      <c r="D40" s="558"/>
      <c r="E40" s="558"/>
      <c r="F40" s="558"/>
      <c r="G40" s="558"/>
      <c r="H40" s="558"/>
      <c r="I40" s="558"/>
      <c r="J40" s="558"/>
      <c r="K40" s="558"/>
      <c r="L40" s="558"/>
      <c r="M40" s="558"/>
      <c r="N40" s="559"/>
    </row>
    <row r="41" spans="2:15" x14ac:dyDescent="0.25">
      <c r="B41" s="209"/>
      <c r="C41" s="445"/>
      <c r="D41" s="444"/>
      <c r="E41" s="444"/>
      <c r="F41" s="444"/>
      <c r="G41" s="444"/>
      <c r="H41" s="444"/>
      <c r="I41" s="446"/>
      <c r="J41" s="441" t="s">
        <v>3</v>
      </c>
      <c r="K41" s="442"/>
      <c r="L41" s="442"/>
      <c r="M41" s="442"/>
      <c r="N41" s="550"/>
    </row>
    <row r="42" spans="2:15" x14ac:dyDescent="0.25">
      <c r="B42" s="210" t="s">
        <v>2</v>
      </c>
      <c r="C42" s="507"/>
      <c r="D42" s="508"/>
      <c r="E42" s="508"/>
      <c r="F42" s="508"/>
      <c r="G42" s="508"/>
      <c r="H42" s="508"/>
      <c r="I42" s="509"/>
      <c r="J42" s="445"/>
      <c r="K42" s="444"/>
      <c r="L42" s="444"/>
      <c r="M42" s="444"/>
      <c r="N42" s="560"/>
    </row>
    <row r="43" spans="2:15" ht="15.75" customHeight="1" x14ac:dyDescent="0.25">
      <c r="B43" s="210" t="s">
        <v>1</v>
      </c>
      <c r="C43" s="513" t="s">
        <v>216</v>
      </c>
      <c r="D43" s="440"/>
      <c r="E43" s="440"/>
      <c r="F43" s="440"/>
      <c r="G43" s="440"/>
      <c r="H43" s="440"/>
      <c r="I43" s="514"/>
      <c r="J43" s="441" t="s">
        <v>31</v>
      </c>
      <c r="K43" s="442"/>
      <c r="L43" s="442"/>
      <c r="M43" s="442"/>
      <c r="N43" s="550"/>
    </row>
    <row r="44" spans="2:15" ht="15.75" customHeight="1" thickBot="1" x14ac:dyDescent="0.3">
      <c r="B44" s="211" t="s">
        <v>0</v>
      </c>
      <c r="C44" s="551" t="s">
        <v>240</v>
      </c>
      <c r="D44" s="552"/>
      <c r="E44" s="552"/>
      <c r="F44" s="552"/>
      <c r="G44" s="552"/>
      <c r="H44" s="552"/>
      <c r="I44" s="553"/>
      <c r="J44" s="554" t="s">
        <v>32</v>
      </c>
      <c r="K44" s="555"/>
      <c r="L44" s="555"/>
      <c r="M44" s="555"/>
      <c r="N44" s="556"/>
    </row>
    <row r="45" spans="2:15" ht="8.25" customHeight="1" x14ac:dyDescent="0.25">
      <c r="C45" s="3"/>
      <c r="D45" s="1"/>
      <c r="E45" s="1"/>
      <c r="F45" s="1"/>
      <c r="G45" s="1"/>
      <c r="H45" s="1"/>
      <c r="I45" s="1"/>
      <c r="J45" s="1"/>
      <c r="K45" s="8"/>
      <c r="L45" s="7"/>
      <c r="M45" s="5"/>
      <c r="N45" s="6"/>
      <c r="O45" s="5"/>
    </row>
    <row r="46" spans="2:15" x14ac:dyDescent="0.25">
      <c r="B46" s="9"/>
      <c r="C46" s="3"/>
      <c r="D46" s="1"/>
      <c r="E46" s="1"/>
      <c r="F46" s="1"/>
      <c r="G46" s="1"/>
      <c r="H46" s="1"/>
      <c r="I46" s="1"/>
      <c r="J46" s="1"/>
      <c r="K46" s="8"/>
      <c r="L46" s="7"/>
      <c r="M46" s="5"/>
      <c r="N46" s="6"/>
      <c r="O46" s="5"/>
    </row>
  </sheetData>
  <mergeCells count="28">
    <mergeCell ref="G18:H18"/>
    <mergeCell ref="B2:N2"/>
    <mergeCell ref="B3:N3"/>
    <mergeCell ref="B4:N4"/>
    <mergeCell ref="C8:I8"/>
    <mergeCell ref="M8:N8"/>
    <mergeCell ref="C10:I11"/>
    <mergeCell ref="C12:G12"/>
    <mergeCell ref="C13:G13"/>
    <mergeCell ref="C14:G14"/>
    <mergeCell ref="C15:I15"/>
    <mergeCell ref="C17:G17"/>
    <mergeCell ref="G19:H19"/>
    <mergeCell ref="I19:I20"/>
    <mergeCell ref="G20:H20"/>
    <mergeCell ref="C21:I21"/>
    <mergeCell ref="C22:I22"/>
    <mergeCell ref="C43:I43"/>
    <mergeCell ref="J43:N43"/>
    <mergeCell ref="C44:I44"/>
    <mergeCell ref="J44:N44"/>
    <mergeCell ref="D23:I23"/>
    <mergeCell ref="C39:G39"/>
    <mergeCell ref="C40:N40"/>
    <mergeCell ref="C41:I41"/>
    <mergeCell ref="J41:N41"/>
    <mergeCell ref="C42:I42"/>
    <mergeCell ref="J42:N42"/>
  </mergeCells>
  <printOptions horizontalCentered="1"/>
  <pageMargins left="0.25" right="0.25" top="0.75" bottom="0.75" header="0.3" footer="0.3"/>
  <pageSetup scale="54"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B1:R46"/>
  <sheetViews>
    <sheetView view="pageBreakPreview" zoomScale="70" zoomScaleNormal="100" zoomScaleSheetLayoutView="70" workbookViewId="0">
      <selection activeCell="C14" sqref="C14:G1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58"/>
      <c r="C1" s="259"/>
      <c r="D1" s="259"/>
      <c r="E1" s="259"/>
      <c r="F1" s="259"/>
      <c r="G1" s="259"/>
      <c r="H1" s="259"/>
      <c r="I1" s="260"/>
      <c r="J1" s="260"/>
      <c r="K1" s="261"/>
      <c r="L1" s="262"/>
      <c r="M1" s="261"/>
      <c r="N1" s="263"/>
    </row>
    <row r="2" spans="2:18" x14ac:dyDescent="0.25">
      <c r="B2" s="671" t="s">
        <v>28</v>
      </c>
      <c r="C2" s="642"/>
      <c r="D2" s="642"/>
      <c r="E2" s="642"/>
      <c r="F2" s="642"/>
      <c r="G2" s="642"/>
      <c r="H2" s="642"/>
      <c r="I2" s="642"/>
      <c r="J2" s="642"/>
      <c r="K2" s="642"/>
      <c r="L2" s="642"/>
      <c r="M2" s="642"/>
      <c r="N2" s="672"/>
      <c r="O2" s="24"/>
      <c r="P2" s="24"/>
      <c r="Q2" s="24"/>
      <c r="R2" s="24"/>
    </row>
    <row r="3" spans="2:18" ht="18" x14ac:dyDescent="0.25">
      <c r="B3" s="685" t="s">
        <v>27</v>
      </c>
      <c r="C3" s="423"/>
      <c r="D3" s="423"/>
      <c r="E3" s="423"/>
      <c r="F3" s="423"/>
      <c r="G3" s="423"/>
      <c r="H3" s="423"/>
      <c r="I3" s="423"/>
      <c r="J3" s="423"/>
      <c r="K3" s="423"/>
      <c r="L3" s="423"/>
      <c r="M3" s="423"/>
      <c r="N3" s="686"/>
      <c r="O3" s="32"/>
      <c r="P3" s="32"/>
      <c r="Q3" s="32"/>
      <c r="R3" s="32"/>
    </row>
    <row r="4" spans="2:18" ht="72" customHeight="1" x14ac:dyDescent="0.25">
      <c r="B4" s="575" t="s">
        <v>165</v>
      </c>
      <c r="C4" s="576"/>
      <c r="D4" s="576"/>
      <c r="E4" s="576"/>
      <c r="F4" s="576"/>
      <c r="G4" s="576"/>
      <c r="H4" s="576"/>
      <c r="I4" s="576"/>
      <c r="J4" s="576"/>
      <c r="K4" s="576"/>
      <c r="L4" s="576"/>
      <c r="M4" s="576"/>
      <c r="N4" s="577"/>
      <c r="O4" s="32"/>
      <c r="P4" s="32"/>
      <c r="Q4" s="32"/>
      <c r="R4" s="32"/>
    </row>
    <row r="5" spans="2:18" x14ac:dyDescent="0.25">
      <c r="B5" s="209"/>
      <c r="C5" s="74"/>
      <c r="D5" s="74"/>
      <c r="E5" s="74"/>
      <c r="F5" s="74"/>
      <c r="G5" s="74"/>
      <c r="H5" s="74"/>
      <c r="I5" s="75"/>
      <c r="J5" s="75"/>
      <c r="K5" s="29" t="s">
        <v>269</v>
      </c>
      <c r="L5" s="28"/>
      <c r="M5" s="29"/>
      <c r="N5" s="264" t="s">
        <v>284</v>
      </c>
    </row>
    <row r="6" spans="2:18" x14ac:dyDescent="0.25">
      <c r="B6" s="177" t="s">
        <v>26</v>
      </c>
      <c r="C6" s="32" t="s">
        <v>30</v>
      </c>
      <c r="D6" s="32"/>
      <c r="E6" s="32"/>
      <c r="F6" s="32"/>
      <c r="G6" s="32"/>
      <c r="H6" s="32"/>
      <c r="I6" s="32"/>
      <c r="J6" s="14"/>
      <c r="K6" s="24" t="s">
        <v>25</v>
      </c>
      <c r="L6" s="76"/>
      <c r="M6" s="24"/>
      <c r="N6" s="265" t="s">
        <v>22</v>
      </c>
    </row>
    <row r="7" spans="2:18" x14ac:dyDescent="0.25">
      <c r="B7" s="179" t="s">
        <v>24</v>
      </c>
      <c r="C7" s="72" t="s">
        <v>47</v>
      </c>
      <c r="D7" s="71"/>
      <c r="E7" s="71"/>
      <c r="F7" s="71"/>
      <c r="G7" s="71"/>
      <c r="H7" s="71"/>
      <c r="I7" s="72"/>
      <c r="J7" s="21"/>
      <c r="K7" s="20" t="s">
        <v>23</v>
      </c>
      <c r="L7" s="77"/>
      <c r="M7" s="20"/>
      <c r="N7" s="266" t="s">
        <v>22</v>
      </c>
    </row>
    <row r="8" spans="2:18" ht="39" customHeight="1" x14ac:dyDescent="0.25">
      <c r="B8" s="267" t="s">
        <v>29</v>
      </c>
      <c r="C8" s="500" t="s">
        <v>19</v>
      </c>
      <c r="D8" s="501"/>
      <c r="E8" s="501"/>
      <c r="F8" s="501"/>
      <c r="G8" s="501"/>
      <c r="H8" s="501"/>
      <c r="I8" s="502"/>
      <c r="J8" s="249" t="s">
        <v>21</v>
      </c>
      <c r="K8" s="249" t="s">
        <v>20</v>
      </c>
      <c r="L8" s="18" t="s">
        <v>18</v>
      </c>
      <c r="M8" s="643" t="s">
        <v>17</v>
      </c>
      <c r="N8" s="673"/>
    </row>
    <row r="9" spans="2:18" x14ac:dyDescent="0.25">
      <c r="B9" s="268"/>
      <c r="C9" s="91"/>
      <c r="D9" s="92"/>
      <c r="E9" s="92"/>
      <c r="F9" s="92"/>
      <c r="G9" s="92"/>
      <c r="H9" s="92"/>
      <c r="I9" s="93"/>
      <c r="J9" s="33"/>
      <c r="K9" s="16"/>
      <c r="L9" s="17"/>
      <c r="M9" s="16"/>
      <c r="N9" s="269"/>
    </row>
    <row r="10" spans="2:18" ht="15.75" customHeight="1" x14ac:dyDescent="0.25">
      <c r="B10" s="177"/>
      <c r="C10" s="523" t="s">
        <v>285</v>
      </c>
      <c r="D10" s="524"/>
      <c r="E10" s="524"/>
      <c r="F10" s="524"/>
      <c r="G10" s="524"/>
      <c r="H10" s="524"/>
      <c r="I10" s="525"/>
      <c r="J10" s="34"/>
      <c r="K10" s="25"/>
      <c r="L10" s="79"/>
      <c r="M10" s="25"/>
      <c r="N10" s="270"/>
    </row>
    <row r="11" spans="2:18" ht="27.75" customHeight="1" x14ac:dyDescent="0.25">
      <c r="B11" s="177"/>
      <c r="C11" s="523"/>
      <c r="D11" s="524"/>
      <c r="E11" s="524"/>
      <c r="F11" s="524"/>
      <c r="G11" s="524"/>
      <c r="H11" s="524"/>
      <c r="I11" s="525"/>
      <c r="J11" s="34"/>
      <c r="K11" s="25"/>
      <c r="L11" s="79"/>
      <c r="M11" s="25"/>
      <c r="N11" s="270"/>
    </row>
    <row r="12" spans="2:18" x14ac:dyDescent="0.25">
      <c r="B12" s="177"/>
      <c r="C12" s="526"/>
      <c r="D12" s="527"/>
      <c r="E12" s="527"/>
      <c r="F12" s="527"/>
      <c r="G12" s="527"/>
      <c r="H12" s="255"/>
      <c r="I12" s="252"/>
      <c r="J12" s="35"/>
      <c r="K12" s="25"/>
      <c r="L12" s="79"/>
      <c r="M12" s="25"/>
      <c r="N12" s="270"/>
    </row>
    <row r="13" spans="2:18" x14ac:dyDescent="0.25">
      <c r="B13" s="177"/>
      <c r="C13" s="561" t="s">
        <v>130</v>
      </c>
      <c r="D13" s="527"/>
      <c r="E13" s="527"/>
      <c r="F13" s="527"/>
      <c r="G13" s="527"/>
      <c r="H13" s="255"/>
      <c r="I13" s="255"/>
      <c r="J13" s="35"/>
      <c r="K13" s="25"/>
      <c r="L13" s="79"/>
      <c r="M13" s="25"/>
      <c r="N13" s="270"/>
    </row>
    <row r="14" spans="2:18" x14ac:dyDescent="0.25">
      <c r="B14" s="177"/>
      <c r="C14" s="526" t="s">
        <v>131</v>
      </c>
      <c r="D14" s="527"/>
      <c r="E14" s="527"/>
      <c r="F14" s="527"/>
      <c r="G14" s="527"/>
      <c r="H14" s="255"/>
      <c r="I14" s="255"/>
      <c r="J14" s="35"/>
      <c r="K14" s="25"/>
      <c r="L14" s="79"/>
      <c r="M14" s="25"/>
      <c r="N14" s="270"/>
    </row>
    <row r="15" spans="2:18" x14ac:dyDescent="0.25">
      <c r="B15" s="177"/>
      <c r="C15" s="438" t="s">
        <v>286</v>
      </c>
      <c r="D15" s="564"/>
      <c r="E15" s="564"/>
      <c r="F15" s="564"/>
      <c r="G15" s="564"/>
      <c r="H15" s="564"/>
      <c r="I15" s="439"/>
      <c r="J15" s="35"/>
      <c r="K15" s="25"/>
      <c r="L15" s="79"/>
      <c r="M15" s="25"/>
      <c r="N15" s="270"/>
    </row>
    <row r="16" spans="2:18" x14ac:dyDescent="0.25">
      <c r="B16" s="177"/>
      <c r="C16" s="254"/>
      <c r="D16" s="255"/>
      <c r="E16" s="255"/>
      <c r="F16" s="255"/>
      <c r="G16" s="255"/>
      <c r="H16" s="255"/>
      <c r="I16" s="252"/>
      <c r="J16" s="35"/>
      <c r="K16" s="25"/>
      <c r="L16" s="79"/>
      <c r="M16" s="25"/>
      <c r="N16" s="270"/>
    </row>
    <row r="17" spans="2:14" ht="15.6" customHeight="1" x14ac:dyDescent="0.25">
      <c r="B17" s="177"/>
      <c r="C17" s="565" t="s">
        <v>16</v>
      </c>
      <c r="D17" s="566"/>
      <c r="E17" s="566"/>
      <c r="F17" s="566"/>
      <c r="G17" s="566"/>
      <c r="H17" s="251"/>
      <c r="I17" s="94"/>
      <c r="J17" s="37"/>
      <c r="K17" s="25"/>
      <c r="L17" s="79"/>
      <c r="M17" s="25"/>
      <c r="N17" s="270"/>
    </row>
    <row r="18" spans="2:14" ht="31.5" x14ac:dyDescent="0.25">
      <c r="B18" s="177"/>
      <c r="C18" s="256" t="s">
        <v>15</v>
      </c>
      <c r="D18" s="256" t="s">
        <v>14</v>
      </c>
      <c r="E18" s="256" t="s">
        <v>13</v>
      </c>
      <c r="F18" s="256" t="s">
        <v>12</v>
      </c>
      <c r="G18" s="469" t="s">
        <v>11</v>
      </c>
      <c r="H18" s="469"/>
      <c r="I18" s="60" t="s">
        <v>10</v>
      </c>
      <c r="J18" s="36"/>
      <c r="K18" s="25"/>
      <c r="L18" s="79"/>
      <c r="M18" s="25"/>
      <c r="N18" s="270"/>
    </row>
    <row r="19" spans="2:14" ht="42" customHeight="1" x14ac:dyDescent="0.25">
      <c r="B19" s="177"/>
      <c r="C19" s="212">
        <v>40</v>
      </c>
      <c r="D19" s="220" t="s">
        <v>51</v>
      </c>
      <c r="E19" s="220" t="s">
        <v>132</v>
      </c>
      <c r="F19" s="150">
        <v>45104</v>
      </c>
      <c r="G19" s="506" t="s">
        <v>80</v>
      </c>
      <c r="H19" s="506"/>
      <c r="I19" s="693" t="s">
        <v>140</v>
      </c>
      <c r="J19" s="219">
        <v>40</v>
      </c>
      <c r="K19" s="90" t="s">
        <v>55</v>
      </c>
      <c r="L19" s="81">
        <v>100</v>
      </c>
      <c r="M19" s="90"/>
      <c r="N19" s="271">
        <f>J19*L19</f>
        <v>4000</v>
      </c>
    </row>
    <row r="20" spans="2:14" ht="62.25" customHeight="1" x14ac:dyDescent="0.25">
      <c r="B20" s="177"/>
      <c r="C20" s="212">
        <v>40</v>
      </c>
      <c r="D20" s="220" t="s">
        <v>9</v>
      </c>
      <c r="E20" s="220" t="s">
        <v>132</v>
      </c>
      <c r="F20" s="150">
        <v>45104</v>
      </c>
      <c r="G20" s="506" t="s">
        <v>79</v>
      </c>
      <c r="H20" s="506"/>
      <c r="I20" s="598"/>
      <c r="J20" s="219">
        <v>40</v>
      </c>
      <c r="K20" s="90" t="s">
        <v>55</v>
      </c>
      <c r="L20" s="81">
        <v>200</v>
      </c>
      <c r="M20" s="90"/>
      <c r="N20" s="271">
        <f>J20*L20</f>
        <v>8000</v>
      </c>
    </row>
    <row r="21" spans="2:14" ht="15.75" customHeight="1" x14ac:dyDescent="0.25">
      <c r="B21" s="177"/>
      <c r="C21" s="523"/>
      <c r="D21" s="524"/>
      <c r="E21" s="524"/>
      <c r="F21" s="524"/>
      <c r="G21" s="524"/>
      <c r="H21" s="524"/>
      <c r="I21" s="525"/>
      <c r="J21" s="257"/>
      <c r="K21" s="25"/>
      <c r="L21" s="79"/>
      <c r="M21" s="25"/>
      <c r="N21" s="270"/>
    </row>
    <row r="22" spans="2:14" ht="15.75" customHeight="1" x14ac:dyDescent="0.25">
      <c r="B22" s="177"/>
      <c r="C22" s="561" t="s">
        <v>82</v>
      </c>
      <c r="D22" s="562"/>
      <c r="E22" s="562"/>
      <c r="F22" s="562"/>
      <c r="G22" s="562"/>
      <c r="H22" s="562"/>
      <c r="I22" s="563"/>
      <c r="J22" s="257"/>
      <c r="K22" s="25"/>
      <c r="L22" s="79"/>
      <c r="M22" s="25"/>
      <c r="N22" s="270"/>
    </row>
    <row r="23" spans="2:14" ht="21" customHeight="1" x14ac:dyDescent="0.25">
      <c r="B23" s="177"/>
      <c r="C23" s="250"/>
      <c r="D23" s="669"/>
      <c r="E23" s="669"/>
      <c r="F23" s="669"/>
      <c r="G23" s="669"/>
      <c r="H23" s="669"/>
      <c r="I23" s="670"/>
      <c r="J23" s="257"/>
      <c r="K23" s="25"/>
      <c r="L23" s="79"/>
      <c r="M23" s="25"/>
      <c r="N23" s="272"/>
    </row>
    <row r="24" spans="2:14" ht="15.75" customHeight="1" x14ac:dyDescent="0.25">
      <c r="B24" s="177"/>
      <c r="C24" s="250"/>
      <c r="D24" s="251"/>
      <c r="E24" s="251"/>
      <c r="F24" s="251"/>
      <c r="G24" s="251"/>
      <c r="H24" s="251"/>
      <c r="I24" s="116"/>
      <c r="J24" s="257"/>
      <c r="K24" s="25"/>
      <c r="L24" s="79"/>
      <c r="M24" s="25"/>
      <c r="N24" s="270"/>
    </row>
    <row r="25" spans="2:14" ht="15.75" customHeight="1" x14ac:dyDescent="0.25">
      <c r="B25" s="177"/>
      <c r="C25" s="95" t="s">
        <v>134</v>
      </c>
      <c r="D25" s="251"/>
      <c r="E25" s="251"/>
      <c r="F25" s="251"/>
      <c r="G25" s="251"/>
      <c r="H25" s="251"/>
      <c r="I25" s="116"/>
      <c r="J25" s="257"/>
      <c r="K25" s="25"/>
      <c r="L25" s="79"/>
      <c r="M25" s="25"/>
      <c r="N25" s="272"/>
    </row>
    <row r="26" spans="2:14" ht="15.75" customHeight="1" x14ac:dyDescent="0.25">
      <c r="B26" s="177"/>
      <c r="C26" s="95" t="s">
        <v>239</v>
      </c>
      <c r="D26" s="251"/>
      <c r="E26" s="251"/>
      <c r="F26" s="251"/>
      <c r="G26" s="251"/>
      <c r="H26" s="251"/>
      <c r="I26" s="116"/>
      <c r="J26" s="257"/>
      <c r="K26" s="25"/>
      <c r="L26" s="79"/>
      <c r="M26" s="25"/>
      <c r="N26" s="270"/>
    </row>
    <row r="27" spans="2:14" ht="15.75" customHeight="1" x14ac:dyDescent="0.25">
      <c r="B27" s="177"/>
      <c r="C27" s="95"/>
      <c r="D27" s="251"/>
      <c r="E27" s="251"/>
      <c r="F27" s="251"/>
      <c r="G27" s="251"/>
      <c r="H27" s="251"/>
      <c r="I27" s="116"/>
      <c r="J27" s="257"/>
      <c r="K27" s="25"/>
      <c r="L27" s="79"/>
      <c r="M27" s="25"/>
      <c r="N27" s="270"/>
    </row>
    <row r="28" spans="2:14" ht="15.75" customHeight="1" x14ac:dyDescent="0.25">
      <c r="B28" s="177"/>
      <c r="C28" s="96" t="s">
        <v>33</v>
      </c>
      <c r="D28" s="251"/>
      <c r="E28" s="251"/>
      <c r="F28" s="251"/>
      <c r="G28" s="251"/>
      <c r="H28" s="251"/>
      <c r="I28" s="116"/>
      <c r="J28" s="257"/>
      <c r="K28" s="25"/>
      <c r="L28" s="79"/>
      <c r="M28" s="25"/>
      <c r="N28" s="270"/>
    </row>
    <row r="29" spans="2:14" ht="15.75" customHeight="1" x14ac:dyDescent="0.25">
      <c r="B29" s="177"/>
      <c r="C29" s="95" t="s">
        <v>34</v>
      </c>
      <c r="D29" s="251"/>
      <c r="E29" s="251"/>
      <c r="F29" s="251"/>
      <c r="G29" s="251"/>
      <c r="H29" s="251"/>
      <c r="I29" s="116"/>
      <c r="J29" s="257"/>
      <c r="K29" s="25"/>
      <c r="L29" s="79"/>
      <c r="M29" s="25"/>
      <c r="N29" s="270"/>
    </row>
    <row r="30" spans="2:14" ht="15.75" customHeight="1" x14ac:dyDescent="0.25">
      <c r="B30" s="177"/>
      <c r="C30" s="95" t="s">
        <v>35</v>
      </c>
      <c r="D30" s="251"/>
      <c r="E30" s="251"/>
      <c r="F30" s="251"/>
      <c r="G30" s="251"/>
      <c r="H30" s="251"/>
      <c r="I30" s="116"/>
      <c r="J30" s="257"/>
      <c r="K30" s="25"/>
      <c r="L30" s="79"/>
      <c r="M30" s="25"/>
      <c r="N30" s="270"/>
    </row>
    <row r="31" spans="2:14" ht="15.75" customHeight="1" x14ac:dyDescent="0.25">
      <c r="B31" s="177"/>
      <c r="C31" s="95"/>
      <c r="D31" s="251" t="s">
        <v>50</v>
      </c>
      <c r="E31" s="251"/>
      <c r="F31" s="251"/>
      <c r="G31" s="251"/>
      <c r="H31" s="251"/>
      <c r="I31" s="116"/>
      <c r="J31" s="257"/>
      <c r="K31" s="25"/>
      <c r="L31" s="79"/>
      <c r="M31" s="25"/>
      <c r="N31" s="270"/>
    </row>
    <row r="32" spans="2:14" ht="15.75" customHeight="1" x14ac:dyDescent="0.25">
      <c r="B32" s="177"/>
      <c r="C32" s="96" t="s">
        <v>36</v>
      </c>
      <c r="D32" s="251"/>
      <c r="E32" s="251"/>
      <c r="F32" s="251"/>
      <c r="G32" s="251"/>
      <c r="H32" s="251"/>
      <c r="I32" s="116"/>
      <c r="J32" s="257"/>
      <c r="K32" s="25"/>
      <c r="L32" s="79"/>
      <c r="M32" s="25"/>
      <c r="N32" s="270"/>
    </row>
    <row r="33" spans="2:15" ht="15.75" customHeight="1" x14ac:dyDescent="0.25">
      <c r="B33" s="177"/>
      <c r="C33" s="95" t="s">
        <v>37</v>
      </c>
      <c r="D33" s="251"/>
      <c r="E33" s="251"/>
      <c r="F33" s="251"/>
      <c r="G33" s="251"/>
      <c r="H33" s="251"/>
      <c r="I33" s="116"/>
      <c r="J33" s="257"/>
      <c r="K33" s="25"/>
      <c r="L33" s="79"/>
      <c r="M33" s="25"/>
      <c r="N33" s="270"/>
    </row>
    <row r="34" spans="2:15" ht="15.75" customHeight="1" x14ac:dyDescent="0.25">
      <c r="B34" s="177"/>
      <c r="C34" s="95" t="s">
        <v>44</v>
      </c>
      <c r="D34" s="251"/>
      <c r="E34" s="251"/>
      <c r="F34" s="251"/>
      <c r="G34" s="251"/>
      <c r="H34" s="251"/>
      <c r="I34" s="116"/>
      <c r="J34" s="257"/>
      <c r="K34" s="25"/>
      <c r="L34" s="79"/>
      <c r="M34" s="25"/>
      <c r="N34" s="270"/>
    </row>
    <row r="35" spans="2:15" ht="15.75" customHeight="1" x14ac:dyDescent="0.25">
      <c r="B35" s="177"/>
      <c r="C35" s="95"/>
      <c r="D35" s="251"/>
      <c r="E35" s="251"/>
      <c r="F35" s="251"/>
      <c r="G35" s="251"/>
      <c r="H35" s="251"/>
      <c r="I35" s="116"/>
      <c r="J35" s="257"/>
      <c r="K35" s="25"/>
      <c r="L35" s="79"/>
      <c r="M35" s="25"/>
      <c r="N35" s="270"/>
    </row>
    <row r="36" spans="2:15" ht="15.75" customHeight="1" x14ac:dyDescent="0.25">
      <c r="B36" s="177"/>
      <c r="C36" s="250"/>
      <c r="D36" s="251"/>
      <c r="E36" s="251"/>
      <c r="F36" s="251"/>
      <c r="G36" s="251"/>
      <c r="H36" s="251"/>
      <c r="I36" s="116"/>
      <c r="J36" s="257"/>
      <c r="K36" s="25"/>
      <c r="L36" s="79"/>
      <c r="M36" s="25"/>
      <c r="N36" s="270"/>
    </row>
    <row r="37" spans="2:15" ht="15.75" customHeight="1" x14ac:dyDescent="0.25">
      <c r="B37" s="177"/>
      <c r="C37" s="99" t="s">
        <v>8</v>
      </c>
      <c r="D37" s="251"/>
      <c r="E37" s="251"/>
      <c r="F37" s="251"/>
      <c r="G37" s="251"/>
      <c r="H37" s="251"/>
      <c r="I37" s="94"/>
      <c r="J37" s="37"/>
      <c r="K37" s="25"/>
      <c r="L37" s="79"/>
      <c r="M37" s="25"/>
      <c r="N37" s="270"/>
    </row>
    <row r="38" spans="2:15" ht="15.6" customHeight="1" x14ac:dyDescent="0.25">
      <c r="B38" s="179"/>
      <c r="C38" s="22" t="s">
        <v>38</v>
      </c>
      <c r="D38" s="253"/>
      <c r="E38" s="253"/>
      <c r="F38" s="253"/>
      <c r="G38" s="253"/>
      <c r="H38" s="253"/>
      <c r="I38" s="97"/>
      <c r="J38" s="84"/>
      <c r="K38" s="22"/>
      <c r="L38" s="156"/>
      <c r="M38" s="22"/>
      <c r="N38" s="273"/>
    </row>
    <row r="39" spans="2:15" x14ac:dyDescent="0.25">
      <c r="B39" s="179"/>
      <c r="C39" s="475"/>
      <c r="D39" s="518"/>
      <c r="E39" s="518"/>
      <c r="F39" s="518"/>
      <c r="G39" s="518"/>
      <c r="H39" s="253"/>
      <c r="I39" s="97"/>
      <c r="J39" s="84"/>
      <c r="K39" s="22"/>
      <c r="L39" s="85" t="s">
        <v>6</v>
      </c>
      <c r="M39" s="86" t="s">
        <v>5</v>
      </c>
      <c r="N39" s="274">
        <f>SUM(N19:N21)</f>
        <v>12000</v>
      </c>
    </row>
    <row r="40" spans="2:15" ht="31.5" customHeight="1" x14ac:dyDescent="0.25">
      <c r="B40" s="275" t="s">
        <v>4</v>
      </c>
      <c r="C40" s="557" t="s">
        <v>237</v>
      </c>
      <c r="D40" s="558"/>
      <c r="E40" s="558"/>
      <c r="F40" s="558"/>
      <c r="G40" s="558"/>
      <c r="H40" s="558"/>
      <c r="I40" s="558"/>
      <c r="J40" s="558"/>
      <c r="K40" s="558"/>
      <c r="L40" s="558"/>
      <c r="M40" s="558"/>
      <c r="N40" s="559"/>
    </row>
    <row r="41" spans="2:15" x14ac:dyDescent="0.25">
      <c r="B41" s="209"/>
      <c r="C41" s="445"/>
      <c r="D41" s="444"/>
      <c r="E41" s="444"/>
      <c r="F41" s="444"/>
      <c r="G41" s="444"/>
      <c r="H41" s="444"/>
      <c r="I41" s="446"/>
      <c r="J41" s="441" t="s">
        <v>3</v>
      </c>
      <c r="K41" s="442"/>
      <c r="L41" s="442"/>
      <c r="M41" s="442"/>
      <c r="N41" s="550"/>
    </row>
    <row r="42" spans="2:15" x14ac:dyDescent="0.25">
      <c r="B42" s="210" t="s">
        <v>2</v>
      </c>
      <c r="C42" s="507"/>
      <c r="D42" s="508"/>
      <c r="E42" s="508"/>
      <c r="F42" s="508"/>
      <c r="G42" s="508"/>
      <c r="H42" s="508"/>
      <c r="I42" s="509"/>
      <c r="J42" s="445"/>
      <c r="K42" s="444"/>
      <c r="L42" s="444"/>
      <c r="M42" s="444"/>
      <c r="N42" s="560"/>
    </row>
    <row r="43" spans="2:15" ht="15.75" customHeight="1" x14ac:dyDescent="0.25">
      <c r="B43" s="210" t="s">
        <v>1</v>
      </c>
      <c r="C43" s="513" t="s">
        <v>216</v>
      </c>
      <c r="D43" s="440"/>
      <c r="E43" s="440"/>
      <c r="F43" s="440"/>
      <c r="G43" s="440"/>
      <c r="H43" s="440"/>
      <c r="I43" s="514"/>
      <c r="J43" s="441" t="s">
        <v>31</v>
      </c>
      <c r="K43" s="442"/>
      <c r="L43" s="442"/>
      <c r="M43" s="442"/>
      <c r="N43" s="550"/>
    </row>
    <row r="44" spans="2:15" ht="15.75" customHeight="1" thickBot="1" x14ac:dyDescent="0.3">
      <c r="B44" s="211" t="s">
        <v>0</v>
      </c>
      <c r="C44" s="551" t="s">
        <v>240</v>
      </c>
      <c r="D44" s="552"/>
      <c r="E44" s="552"/>
      <c r="F44" s="552"/>
      <c r="G44" s="552"/>
      <c r="H44" s="552"/>
      <c r="I44" s="553"/>
      <c r="J44" s="554" t="s">
        <v>32</v>
      </c>
      <c r="K44" s="555"/>
      <c r="L44" s="555"/>
      <c r="M44" s="555"/>
      <c r="N44" s="556"/>
    </row>
    <row r="45" spans="2:15" ht="8.25" customHeight="1" x14ac:dyDescent="0.25">
      <c r="C45" s="3"/>
      <c r="D45" s="1"/>
      <c r="E45" s="1"/>
      <c r="F45" s="1"/>
      <c r="G45" s="1"/>
      <c r="H45" s="1"/>
      <c r="I45" s="1"/>
      <c r="J45" s="1"/>
      <c r="K45" s="8"/>
      <c r="L45" s="7"/>
      <c r="M45" s="5"/>
      <c r="N45" s="6"/>
      <c r="O45" s="5"/>
    </row>
    <row r="46" spans="2:15" x14ac:dyDescent="0.25">
      <c r="B46" s="9"/>
      <c r="C46" s="3"/>
      <c r="D46" s="1"/>
      <c r="E46" s="1"/>
      <c r="F46" s="1"/>
      <c r="G46" s="1"/>
      <c r="H46" s="1"/>
      <c r="I46" s="1"/>
      <c r="J46" s="1"/>
      <c r="K46" s="8"/>
      <c r="L46" s="7"/>
      <c r="M46" s="5"/>
      <c r="N46" s="6"/>
      <c r="O46" s="5"/>
    </row>
  </sheetData>
  <mergeCells count="28">
    <mergeCell ref="C43:I43"/>
    <mergeCell ref="J43:N43"/>
    <mergeCell ref="C44:I44"/>
    <mergeCell ref="J44:N44"/>
    <mergeCell ref="C39:G39"/>
    <mergeCell ref="C40:N40"/>
    <mergeCell ref="C41:I41"/>
    <mergeCell ref="J41:N41"/>
    <mergeCell ref="C42:I42"/>
    <mergeCell ref="J42:N42"/>
    <mergeCell ref="D23:I23"/>
    <mergeCell ref="C12:G12"/>
    <mergeCell ref="C13:G13"/>
    <mergeCell ref="C14:G14"/>
    <mergeCell ref="C15:I15"/>
    <mergeCell ref="C17:G17"/>
    <mergeCell ref="G18:H18"/>
    <mergeCell ref="G19:H19"/>
    <mergeCell ref="I19:I20"/>
    <mergeCell ref="G20:H20"/>
    <mergeCell ref="C21:I21"/>
    <mergeCell ref="C22:I22"/>
    <mergeCell ref="C10:I11"/>
    <mergeCell ref="B2:N2"/>
    <mergeCell ref="B3:N3"/>
    <mergeCell ref="B4:N4"/>
    <mergeCell ref="C8:I8"/>
    <mergeCell ref="M8:N8"/>
  </mergeCells>
  <printOptions horizontalCentered="1"/>
  <pageMargins left="0.25" right="0.25" top="0.75" bottom="0.75" header="0.3" footer="0.3"/>
  <pageSetup scale="54"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B2:R47"/>
  <sheetViews>
    <sheetView view="pageBreakPreview" zoomScale="70" zoomScaleNormal="100" zoomScaleSheetLayoutView="70" workbookViewId="0">
      <selection activeCell="D24" sqref="D24:I2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2" spans="2:18" x14ac:dyDescent="0.25">
      <c r="B2" s="642" t="s">
        <v>28</v>
      </c>
      <c r="C2" s="642"/>
      <c r="D2" s="642"/>
      <c r="E2" s="642"/>
      <c r="F2" s="642"/>
      <c r="G2" s="642"/>
      <c r="H2" s="642"/>
      <c r="I2" s="642"/>
      <c r="J2" s="642"/>
      <c r="K2" s="642"/>
      <c r="L2" s="642"/>
      <c r="M2" s="642"/>
      <c r="N2" s="642"/>
      <c r="O2" s="24"/>
      <c r="P2" s="24"/>
      <c r="Q2" s="24"/>
      <c r="R2" s="24"/>
    </row>
    <row r="3" spans="2:18" ht="18" x14ac:dyDescent="0.25">
      <c r="B3" s="423" t="s">
        <v>27</v>
      </c>
      <c r="C3" s="423"/>
      <c r="D3" s="423"/>
      <c r="E3" s="423"/>
      <c r="F3" s="423"/>
      <c r="G3" s="423"/>
      <c r="H3" s="423"/>
      <c r="I3" s="423"/>
      <c r="J3" s="423"/>
      <c r="K3" s="423"/>
      <c r="L3" s="423"/>
      <c r="M3" s="423"/>
      <c r="N3" s="423"/>
      <c r="O3" s="32"/>
      <c r="P3" s="32"/>
      <c r="Q3" s="32"/>
      <c r="R3" s="32"/>
    </row>
    <row r="4" spans="2:18" ht="72" customHeight="1" x14ac:dyDescent="0.25">
      <c r="B4" s="694" t="s">
        <v>45</v>
      </c>
      <c r="C4" s="576"/>
      <c r="D4" s="576"/>
      <c r="E4" s="576"/>
      <c r="F4" s="576"/>
      <c r="G4" s="576"/>
      <c r="H4" s="576"/>
      <c r="I4" s="576"/>
      <c r="J4" s="576"/>
      <c r="K4" s="576"/>
      <c r="L4" s="576"/>
      <c r="M4" s="576"/>
      <c r="N4" s="695"/>
      <c r="O4" s="32"/>
      <c r="P4" s="32"/>
      <c r="Q4" s="32"/>
      <c r="R4" s="32"/>
    </row>
    <row r="5" spans="2:18" x14ac:dyDescent="0.25">
      <c r="B5" s="73"/>
      <c r="C5" s="74"/>
      <c r="D5" s="74"/>
      <c r="E5" s="74"/>
      <c r="F5" s="74"/>
      <c r="G5" s="74"/>
      <c r="H5" s="74"/>
      <c r="I5" s="75"/>
      <c r="J5" s="75"/>
      <c r="K5" s="29" t="s">
        <v>219</v>
      </c>
      <c r="L5" s="28"/>
      <c r="M5" s="29"/>
      <c r="N5" s="26" t="s">
        <v>257</v>
      </c>
    </row>
    <row r="6" spans="2:18" x14ac:dyDescent="0.25">
      <c r="B6" s="25" t="s">
        <v>26</v>
      </c>
      <c r="C6" s="32" t="s">
        <v>30</v>
      </c>
      <c r="D6" s="32"/>
      <c r="E6" s="32"/>
      <c r="F6" s="32"/>
      <c r="G6" s="32"/>
      <c r="H6" s="32"/>
      <c r="I6" s="32"/>
      <c r="J6" s="14"/>
      <c r="K6" s="24" t="s">
        <v>25</v>
      </c>
      <c r="L6" s="76"/>
      <c r="M6" s="24"/>
      <c r="N6" s="23" t="s">
        <v>22</v>
      </c>
    </row>
    <row r="7" spans="2:18" x14ac:dyDescent="0.25">
      <c r="B7" s="22" t="s">
        <v>24</v>
      </c>
      <c r="C7" s="72" t="s">
        <v>47</v>
      </c>
      <c r="D7" s="71"/>
      <c r="E7" s="71"/>
      <c r="F7" s="71"/>
      <c r="G7" s="71"/>
      <c r="H7" s="71"/>
      <c r="I7" s="72"/>
      <c r="J7" s="21"/>
      <c r="K7" s="20" t="s">
        <v>23</v>
      </c>
      <c r="L7" s="77"/>
      <c r="M7" s="20"/>
      <c r="N7" s="19" t="s">
        <v>22</v>
      </c>
    </row>
    <row r="8" spans="2:18" ht="39" customHeight="1" x14ac:dyDescent="0.25">
      <c r="B8" s="151" t="s">
        <v>29</v>
      </c>
      <c r="C8" s="500" t="s">
        <v>19</v>
      </c>
      <c r="D8" s="501"/>
      <c r="E8" s="501"/>
      <c r="F8" s="501"/>
      <c r="G8" s="501"/>
      <c r="H8" s="501"/>
      <c r="I8" s="502"/>
      <c r="J8" s="249" t="s">
        <v>21</v>
      </c>
      <c r="K8" s="249" t="s">
        <v>20</v>
      </c>
      <c r="L8" s="18" t="s">
        <v>18</v>
      </c>
      <c r="M8" s="643" t="s">
        <v>17</v>
      </c>
      <c r="N8" s="643"/>
    </row>
    <row r="9" spans="2:18" x14ac:dyDescent="0.25">
      <c r="B9" s="90"/>
      <c r="C9" s="91"/>
      <c r="D9" s="92"/>
      <c r="E9" s="92"/>
      <c r="F9" s="92"/>
      <c r="G9" s="92"/>
      <c r="H9" s="92"/>
      <c r="I9" s="93"/>
      <c r="J9" s="33"/>
      <c r="K9" s="16"/>
      <c r="L9" s="17"/>
      <c r="M9" s="16"/>
      <c r="N9" s="15"/>
    </row>
    <row r="10" spans="2:18" ht="15.75" customHeight="1" x14ac:dyDescent="0.25">
      <c r="B10" s="25"/>
      <c r="C10" s="523" t="s">
        <v>258</v>
      </c>
      <c r="D10" s="524"/>
      <c r="E10" s="524"/>
      <c r="F10" s="524"/>
      <c r="G10" s="524"/>
      <c r="H10" s="524"/>
      <c r="I10" s="525"/>
      <c r="J10" s="34"/>
      <c r="K10" s="25"/>
      <c r="L10" s="79"/>
      <c r="M10" s="25"/>
      <c r="N10" s="80"/>
    </row>
    <row r="11" spans="2:18" ht="27.75" customHeight="1" x14ac:dyDescent="0.25">
      <c r="B11" s="25"/>
      <c r="C11" s="523"/>
      <c r="D11" s="524"/>
      <c r="E11" s="524"/>
      <c r="F11" s="524"/>
      <c r="G11" s="524"/>
      <c r="H11" s="524"/>
      <c r="I11" s="525"/>
      <c r="J11" s="34"/>
      <c r="K11" s="25"/>
      <c r="L11" s="79"/>
      <c r="M11" s="25"/>
      <c r="N11" s="80"/>
    </row>
    <row r="12" spans="2:18" x14ac:dyDescent="0.25">
      <c r="B12" s="25"/>
      <c r="C12" s="526"/>
      <c r="D12" s="527"/>
      <c r="E12" s="527"/>
      <c r="F12" s="527"/>
      <c r="G12" s="527"/>
      <c r="H12" s="255"/>
      <c r="I12" s="252"/>
      <c r="J12" s="35"/>
      <c r="K12" s="25"/>
      <c r="L12" s="79"/>
      <c r="M12" s="25"/>
      <c r="N12" s="80"/>
    </row>
    <row r="13" spans="2:18" x14ac:dyDescent="0.25">
      <c r="B13" s="25"/>
      <c r="C13" s="561" t="s">
        <v>130</v>
      </c>
      <c r="D13" s="527"/>
      <c r="E13" s="527"/>
      <c r="F13" s="527"/>
      <c r="G13" s="527"/>
      <c r="H13" s="255"/>
      <c r="I13" s="255"/>
      <c r="J13" s="35"/>
      <c r="K13" s="25"/>
      <c r="L13" s="79"/>
      <c r="M13" s="25"/>
      <c r="N13" s="80"/>
    </row>
    <row r="14" spans="2:18" x14ac:dyDescent="0.25">
      <c r="B14" s="25"/>
      <c r="C14" s="526" t="s">
        <v>131</v>
      </c>
      <c r="D14" s="527"/>
      <c r="E14" s="527"/>
      <c r="F14" s="527"/>
      <c r="G14" s="527"/>
      <c r="H14" s="255"/>
      <c r="I14" s="255"/>
      <c r="J14" s="35"/>
      <c r="K14" s="25"/>
      <c r="L14" s="79"/>
      <c r="M14" s="25"/>
      <c r="N14" s="80"/>
    </row>
    <row r="15" spans="2:18" x14ac:dyDescent="0.25">
      <c r="B15" s="25"/>
      <c r="C15" s="438" t="s">
        <v>259</v>
      </c>
      <c r="D15" s="564"/>
      <c r="E15" s="564"/>
      <c r="F15" s="564"/>
      <c r="G15" s="564"/>
      <c r="H15" s="564"/>
      <c r="I15" s="439"/>
      <c r="J15" s="35"/>
      <c r="K15" s="25"/>
      <c r="L15" s="79"/>
      <c r="M15" s="25"/>
      <c r="N15" s="80"/>
    </row>
    <row r="16" spans="2:18" x14ac:dyDescent="0.25">
      <c r="B16" s="25"/>
      <c r="C16" s="254"/>
      <c r="D16" s="255"/>
      <c r="E16" s="255"/>
      <c r="F16" s="255"/>
      <c r="G16" s="255"/>
      <c r="H16" s="255"/>
      <c r="I16" s="252"/>
      <c r="J16" s="35"/>
      <c r="K16" s="25"/>
      <c r="L16" s="79"/>
      <c r="M16" s="25"/>
      <c r="N16" s="80"/>
    </row>
    <row r="17" spans="2:14" ht="15.6" customHeight="1" x14ac:dyDescent="0.25">
      <c r="B17" s="25"/>
      <c r="C17" s="565" t="s">
        <v>16</v>
      </c>
      <c r="D17" s="566"/>
      <c r="E17" s="566"/>
      <c r="F17" s="566"/>
      <c r="G17" s="566"/>
      <c r="H17" s="251"/>
      <c r="I17" s="94"/>
      <c r="J17" s="37"/>
      <c r="K17" s="25"/>
      <c r="L17" s="79"/>
      <c r="M17" s="25"/>
      <c r="N17" s="80"/>
    </row>
    <row r="18" spans="2:14" ht="31.5" x14ac:dyDescent="0.25">
      <c r="B18" s="25"/>
      <c r="C18" s="256" t="s">
        <v>15</v>
      </c>
      <c r="D18" s="256" t="s">
        <v>14</v>
      </c>
      <c r="E18" s="256" t="s">
        <v>13</v>
      </c>
      <c r="F18" s="256" t="s">
        <v>12</v>
      </c>
      <c r="G18" s="469" t="s">
        <v>11</v>
      </c>
      <c r="H18" s="469"/>
      <c r="I18" s="60" t="s">
        <v>10</v>
      </c>
      <c r="J18" s="36"/>
      <c r="K18" s="25"/>
      <c r="L18" s="79"/>
      <c r="M18" s="25"/>
      <c r="N18" s="80"/>
    </row>
    <row r="19" spans="2:14" ht="42" customHeight="1" x14ac:dyDescent="0.25">
      <c r="B19" s="25"/>
      <c r="C19" s="212">
        <v>36</v>
      </c>
      <c r="D19" s="220" t="s">
        <v>51</v>
      </c>
      <c r="E19" s="220" t="s">
        <v>132</v>
      </c>
      <c r="F19" s="150" t="s">
        <v>260</v>
      </c>
      <c r="G19" s="506" t="s">
        <v>80</v>
      </c>
      <c r="H19" s="506"/>
      <c r="I19" s="597"/>
      <c r="J19" s="219">
        <v>36</v>
      </c>
      <c r="K19" s="90" t="s">
        <v>55</v>
      </c>
      <c r="L19" s="81">
        <v>100</v>
      </c>
      <c r="M19" s="90"/>
      <c r="N19" s="82">
        <f>J19*L19</f>
        <v>3600</v>
      </c>
    </row>
    <row r="20" spans="2:14" ht="62.25" customHeight="1" x14ac:dyDescent="0.25">
      <c r="B20" s="25"/>
      <c r="C20" s="212">
        <v>36</v>
      </c>
      <c r="D20" s="220" t="s">
        <v>9</v>
      </c>
      <c r="E20" s="220" t="s">
        <v>132</v>
      </c>
      <c r="F20" s="150">
        <v>45090</v>
      </c>
      <c r="G20" s="506" t="s">
        <v>79</v>
      </c>
      <c r="H20" s="506"/>
      <c r="I20" s="597"/>
      <c r="J20" s="219">
        <v>36</v>
      </c>
      <c r="K20" s="90" t="s">
        <v>55</v>
      </c>
      <c r="L20" s="81">
        <v>200</v>
      </c>
      <c r="M20" s="90"/>
      <c r="N20" s="82">
        <f>J20*L20</f>
        <v>7200</v>
      </c>
    </row>
    <row r="21" spans="2:14" ht="51.75" customHeight="1" x14ac:dyDescent="0.25">
      <c r="B21" s="25"/>
      <c r="C21" s="212">
        <v>36</v>
      </c>
      <c r="D21" s="220" t="s">
        <v>133</v>
      </c>
      <c r="E21" s="220" t="s">
        <v>132</v>
      </c>
      <c r="F21" s="150">
        <v>45090</v>
      </c>
      <c r="G21" s="506" t="s">
        <v>96</v>
      </c>
      <c r="H21" s="506"/>
      <c r="I21" s="598"/>
      <c r="J21" s="219">
        <v>36</v>
      </c>
      <c r="K21" s="90" t="s">
        <v>55</v>
      </c>
      <c r="L21" s="98">
        <v>100</v>
      </c>
      <c r="M21" s="90"/>
      <c r="N21" s="82">
        <f>J21*L21</f>
        <v>3600</v>
      </c>
    </row>
    <row r="22" spans="2:14" ht="15.75" customHeight="1" x14ac:dyDescent="0.25">
      <c r="B22" s="25"/>
      <c r="C22" s="523"/>
      <c r="D22" s="524"/>
      <c r="E22" s="524"/>
      <c r="F22" s="524"/>
      <c r="G22" s="524"/>
      <c r="H22" s="524"/>
      <c r="I22" s="525"/>
      <c r="J22" s="257"/>
      <c r="K22" s="25"/>
      <c r="L22" s="79"/>
      <c r="M22" s="25"/>
      <c r="N22" s="80"/>
    </row>
    <row r="23" spans="2:14" ht="15.75" customHeight="1" x14ac:dyDescent="0.25">
      <c r="B23" s="25"/>
      <c r="C23" s="561" t="s">
        <v>82</v>
      </c>
      <c r="D23" s="562"/>
      <c r="E23" s="562"/>
      <c r="F23" s="562"/>
      <c r="G23" s="562"/>
      <c r="H23" s="562"/>
      <c r="I23" s="563"/>
      <c r="J23" s="257"/>
      <c r="K23" s="25"/>
      <c r="L23" s="79"/>
      <c r="M23" s="25"/>
      <c r="N23" s="80"/>
    </row>
    <row r="24" spans="2:14" ht="21" customHeight="1" x14ac:dyDescent="0.25">
      <c r="B24" s="25"/>
      <c r="C24" s="250"/>
      <c r="D24" s="669"/>
      <c r="E24" s="669"/>
      <c r="F24" s="669"/>
      <c r="G24" s="669"/>
      <c r="H24" s="669"/>
      <c r="I24" s="670"/>
      <c r="J24" s="257"/>
      <c r="K24" s="25"/>
      <c r="L24" s="79"/>
      <c r="M24" s="25"/>
      <c r="N24" s="80"/>
    </row>
    <row r="25" spans="2:14" ht="15.75" customHeight="1" x14ac:dyDescent="0.25">
      <c r="B25" s="25"/>
      <c r="C25" s="250"/>
      <c r="D25" s="251"/>
      <c r="E25" s="251"/>
      <c r="F25" s="251"/>
      <c r="G25" s="251"/>
      <c r="H25" s="251"/>
      <c r="I25" s="116"/>
      <c r="J25" s="257"/>
      <c r="K25" s="25"/>
      <c r="L25" s="79"/>
      <c r="M25" s="25"/>
      <c r="N25" s="80"/>
    </row>
    <row r="26" spans="2:14" ht="15.75" customHeight="1" x14ac:dyDescent="0.25">
      <c r="B26" s="25"/>
      <c r="C26" s="95" t="s">
        <v>134</v>
      </c>
      <c r="D26" s="251"/>
      <c r="E26" s="251"/>
      <c r="F26" s="251"/>
      <c r="G26" s="251"/>
      <c r="H26" s="251"/>
      <c r="I26" s="116"/>
      <c r="J26" s="257"/>
      <c r="K26" s="25"/>
      <c r="L26" s="79"/>
      <c r="M26" s="25"/>
      <c r="N26" s="155"/>
    </row>
    <row r="27" spans="2:14" ht="15.75" customHeight="1" x14ac:dyDescent="0.25">
      <c r="B27" s="25"/>
      <c r="C27" s="95" t="s">
        <v>261</v>
      </c>
      <c r="D27" s="251"/>
      <c r="E27" s="251"/>
      <c r="F27" s="251"/>
      <c r="G27" s="251"/>
      <c r="H27" s="251"/>
      <c r="I27" s="116"/>
      <c r="J27" s="257"/>
      <c r="K27" s="25"/>
      <c r="L27" s="79"/>
      <c r="M27" s="25"/>
      <c r="N27" s="80"/>
    </row>
    <row r="28" spans="2:14" ht="15.75" customHeight="1" x14ac:dyDescent="0.25">
      <c r="B28" s="25"/>
      <c r="C28" s="95"/>
      <c r="D28" s="251"/>
      <c r="E28" s="251"/>
      <c r="F28" s="251"/>
      <c r="G28" s="251"/>
      <c r="H28" s="251"/>
      <c r="I28" s="116"/>
      <c r="J28" s="257"/>
      <c r="K28" s="25"/>
      <c r="L28" s="79"/>
      <c r="M28" s="25"/>
      <c r="N28" s="80"/>
    </row>
    <row r="29" spans="2:14" ht="15.75" customHeight="1" x14ac:dyDescent="0.25">
      <c r="B29" s="25"/>
      <c r="C29" s="96" t="s">
        <v>33</v>
      </c>
      <c r="D29" s="251"/>
      <c r="E29" s="251"/>
      <c r="F29" s="251"/>
      <c r="G29" s="251"/>
      <c r="H29" s="251"/>
      <c r="I29" s="116"/>
      <c r="J29" s="257"/>
      <c r="K29" s="25"/>
      <c r="L29" s="79"/>
      <c r="M29" s="25"/>
      <c r="N29" s="80"/>
    </row>
    <row r="30" spans="2:14" ht="15.75" customHeight="1" x14ac:dyDescent="0.25">
      <c r="B30" s="25"/>
      <c r="C30" s="95" t="s">
        <v>34</v>
      </c>
      <c r="D30" s="251"/>
      <c r="E30" s="251"/>
      <c r="F30" s="251"/>
      <c r="G30" s="251"/>
      <c r="H30" s="251"/>
      <c r="I30" s="116"/>
      <c r="J30" s="257"/>
      <c r="K30" s="25"/>
      <c r="L30" s="79"/>
      <c r="M30" s="25"/>
      <c r="N30" s="80"/>
    </row>
    <row r="31" spans="2:14" ht="15.75" customHeight="1" x14ac:dyDescent="0.25">
      <c r="B31" s="25"/>
      <c r="C31" s="95" t="s">
        <v>35</v>
      </c>
      <c r="D31" s="251"/>
      <c r="E31" s="251"/>
      <c r="F31" s="251"/>
      <c r="G31" s="251"/>
      <c r="H31" s="251"/>
      <c r="I31" s="116"/>
      <c r="J31" s="257"/>
      <c r="K31" s="25"/>
      <c r="L31" s="79"/>
      <c r="M31" s="25"/>
      <c r="N31" s="80"/>
    </row>
    <row r="32" spans="2:14" ht="15.75" customHeight="1" x14ac:dyDescent="0.25">
      <c r="B32" s="25"/>
      <c r="C32" s="95"/>
      <c r="D32" s="251" t="s">
        <v>50</v>
      </c>
      <c r="E32" s="251"/>
      <c r="F32" s="251"/>
      <c r="G32" s="251"/>
      <c r="H32" s="251"/>
      <c r="I32" s="116"/>
      <c r="J32" s="257"/>
      <c r="K32" s="25"/>
      <c r="L32" s="79"/>
      <c r="M32" s="25"/>
      <c r="N32" s="80"/>
    </row>
    <row r="33" spans="2:15" ht="15.75" customHeight="1" x14ac:dyDescent="0.25">
      <c r="B33" s="25"/>
      <c r="C33" s="96" t="s">
        <v>36</v>
      </c>
      <c r="D33" s="251"/>
      <c r="E33" s="251"/>
      <c r="F33" s="251"/>
      <c r="G33" s="251"/>
      <c r="H33" s="251"/>
      <c r="I33" s="116"/>
      <c r="J33" s="257"/>
      <c r="K33" s="25"/>
      <c r="L33" s="79"/>
      <c r="M33" s="25"/>
      <c r="N33" s="80"/>
    </row>
    <row r="34" spans="2:15" ht="15.75" customHeight="1" x14ac:dyDescent="0.25">
      <c r="B34" s="25"/>
      <c r="C34" s="95" t="s">
        <v>37</v>
      </c>
      <c r="D34" s="251"/>
      <c r="E34" s="251"/>
      <c r="F34" s="251"/>
      <c r="G34" s="251"/>
      <c r="H34" s="251"/>
      <c r="I34" s="116"/>
      <c r="J34" s="257"/>
      <c r="K34" s="25"/>
      <c r="L34" s="79"/>
      <c r="M34" s="25"/>
      <c r="N34" s="80"/>
    </row>
    <row r="35" spans="2:15" ht="15.75" customHeight="1" x14ac:dyDescent="0.25">
      <c r="B35" s="25"/>
      <c r="C35" s="95" t="s">
        <v>44</v>
      </c>
      <c r="D35" s="251"/>
      <c r="E35" s="251"/>
      <c r="F35" s="251"/>
      <c r="G35" s="251"/>
      <c r="H35" s="251"/>
      <c r="I35" s="116"/>
      <c r="J35" s="257"/>
      <c r="K35" s="25"/>
      <c r="L35" s="79"/>
      <c r="M35" s="25"/>
      <c r="N35" s="80"/>
    </row>
    <row r="36" spans="2:15" ht="15.75" customHeight="1" x14ac:dyDescent="0.25">
      <c r="B36" s="25"/>
      <c r="C36" s="95"/>
      <c r="D36" s="251"/>
      <c r="E36" s="251"/>
      <c r="F36" s="251"/>
      <c r="G36" s="251"/>
      <c r="H36" s="251"/>
      <c r="I36" s="116"/>
      <c r="J36" s="257"/>
      <c r="K36" s="25"/>
      <c r="L36" s="79"/>
      <c r="M36" s="25"/>
      <c r="N36" s="80"/>
    </row>
    <row r="37" spans="2:15" ht="15.75" customHeight="1" x14ac:dyDescent="0.25">
      <c r="B37" s="25"/>
      <c r="C37" s="250"/>
      <c r="D37" s="251"/>
      <c r="E37" s="251"/>
      <c r="F37" s="251"/>
      <c r="G37" s="251"/>
      <c r="H37" s="251"/>
      <c r="I37" s="116"/>
      <c r="J37" s="257"/>
      <c r="K37" s="25"/>
      <c r="L37" s="79"/>
      <c r="M37" s="25"/>
      <c r="N37" s="80"/>
    </row>
    <row r="38" spans="2:15" ht="15.75" customHeight="1" x14ac:dyDescent="0.25">
      <c r="B38" s="25"/>
      <c r="C38" s="99" t="s">
        <v>8</v>
      </c>
      <c r="D38" s="251"/>
      <c r="E38" s="251"/>
      <c r="F38" s="251"/>
      <c r="G38" s="251"/>
      <c r="H38" s="251"/>
      <c r="I38" s="94"/>
      <c r="J38" s="37"/>
      <c r="K38" s="25"/>
      <c r="L38" s="79"/>
      <c r="M38" s="25"/>
      <c r="N38" s="80"/>
    </row>
    <row r="39" spans="2:15" ht="15.6" customHeight="1" x14ac:dyDescent="0.25">
      <c r="B39" s="22"/>
      <c r="C39" s="22" t="s">
        <v>38</v>
      </c>
      <c r="D39" s="253"/>
      <c r="E39" s="253"/>
      <c r="F39" s="253"/>
      <c r="G39" s="253"/>
      <c r="H39" s="253"/>
      <c r="I39" s="97"/>
      <c r="J39" s="84"/>
      <c r="K39" s="22"/>
      <c r="L39" s="156"/>
      <c r="M39" s="22"/>
      <c r="N39" s="157"/>
    </row>
    <row r="40" spans="2:15" x14ac:dyDescent="0.25">
      <c r="B40" s="22"/>
      <c r="C40" s="475"/>
      <c r="D40" s="518"/>
      <c r="E40" s="518"/>
      <c r="F40" s="518"/>
      <c r="G40" s="518"/>
      <c r="H40" s="253"/>
      <c r="I40" s="97"/>
      <c r="J40" s="84"/>
      <c r="K40" s="22"/>
      <c r="L40" s="85" t="s">
        <v>6</v>
      </c>
      <c r="M40" s="86" t="s">
        <v>5</v>
      </c>
      <c r="N40" s="87">
        <f>SUM(N19:N22)</f>
        <v>14400</v>
      </c>
    </row>
    <row r="41" spans="2:15" ht="31.5" customHeight="1" x14ac:dyDescent="0.25">
      <c r="B41" s="88" t="s">
        <v>4</v>
      </c>
      <c r="C41" s="557" t="s">
        <v>258</v>
      </c>
      <c r="D41" s="558"/>
      <c r="E41" s="558"/>
      <c r="F41" s="558"/>
      <c r="G41" s="558"/>
      <c r="H41" s="558"/>
      <c r="I41" s="558"/>
      <c r="J41" s="558"/>
      <c r="K41" s="558"/>
      <c r="L41" s="558"/>
      <c r="M41" s="558"/>
      <c r="N41" s="684"/>
    </row>
    <row r="42" spans="2:15" x14ac:dyDescent="0.25">
      <c r="B42" s="73"/>
      <c r="C42" s="445"/>
      <c r="D42" s="444"/>
      <c r="E42" s="444"/>
      <c r="F42" s="444"/>
      <c r="G42" s="444"/>
      <c r="H42" s="444"/>
      <c r="I42" s="446"/>
      <c r="J42" s="441" t="s">
        <v>3</v>
      </c>
      <c r="K42" s="442"/>
      <c r="L42" s="442"/>
      <c r="M42" s="442"/>
      <c r="N42" s="443"/>
    </row>
    <row r="43" spans="2:15" x14ac:dyDescent="0.25">
      <c r="B43" s="78" t="s">
        <v>2</v>
      </c>
      <c r="C43" s="507"/>
      <c r="D43" s="508"/>
      <c r="E43" s="508"/>
      <c r="F43" s="508"/>
      <c r="G43" s="508"/>
      <c r="H43" s="508"/>
      <c r="I43" s="509"/>
      <c r="J43" s="445"/>
      <c r="K43" s="444"/>
      <c r="L43" s="444"/>
      <c r="M43" s="444"/>
      <c r="N43" s="444"/>
    </row>
    <row r="44" spans="2:15" ht="15.75" customHeight="1" x14ac:dyDescent="0.25">
      <c r="B44" s="78" t="s">
        <v>1</v>
      </c>
      <c r="C44" s="513" t="s">
        <v>216</v>
      </c>
      <c r="D44" s="440"/>
      <c r="E44" s="440"/>
      <c r="F44" s="440"/>
      <c r="G44" s="440"/>
      <c r="H44" s="440"/>
      <c r="I44" s="514"/>
      <c r="J44" s="441" t="s">
        <v>31</v>
      </c>
      <c r="K44" s="442"/>
      <c r="L44" s="442"/>
      <c r="M44" s="442"/>
      <c r="N44" s="443"/>
    </row>
    <row r="45" spans="2:15" ht="15.75" customHeight="1" x14ac:dyDescent="0.25">
      <c r="B45" s="83" t="s">
        <v>0</v>
      </c>
      <c r="C45" s="507" t="s">
        <v>217</v>
      </c>
      <c r="D45" s="508"/>
      <c r="E45" s="508"/>
      <c r="F45" s="508"/>
      <c r="G45" s="508"/>
      <c r="H45" s="508"/>
      <c r="I45" s="509"/>
      <c r="J45" s="445" t="s">
        <v>32</v>
      </c>
      <c r="K45" s="444"/>
      <c r="L45" s="444"/>
      <c r="M45" s="444"/>
      <c r="N45" s="446"/>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10:I11"/>
    <mergeCell ref="B2:N2"/>
    <mergeCell ref="B3:N3"/>
    <mergeCell ref="B4:N4"/>
    <mergeCell ref="C8:I8"/>
    <mergeCell ref="M8:N8"/>
    <mergeCell ref="C23:I23"/>
    <mergeCell ref="C12:G12"/>
    <mergeCell ref="C13:G13"/>
    <mergeCell ref="C14:G14"/>
    <mergeCell ref="C15:I15"/>
    <mergeCell ref="C17:G17"/>
    <mergeCell ref="G18:H18"/>
    <mergeCell ref="G19:H19"/>
    <mergeCell ref="I19:I21"/>
    <mergeCell ref="G20:H20"/>
    <mergeCell ref="G21:H21"/>
    <mergeCell ref="C22:I22"/>
    <mergeCell ref="C44:I44"/>
    <mergeCell ref="J44:N44"/>
    <mergeCell ref="C45:I45"/>
    <mergeCell ref="J45:N45"/>
    <mergeCell ref="D24:I24"/>
    <mergeCell ref="C40:G40"/>
    <mergeCell ref="C41:N41"/>
    <mergeCell ref="C42:I42"/>
    <mergeCell ref="J42:N42"/>
    <mergeCell ref="C43:I43"/>
    <mergeCell ref="J43:N43"/>
  </mergeCells>
  <printOptions horizontalCentered="1"/>
  <pageMargins left="0.25" right="0.25" top="0.75" bottom="0.75" header="0.3" footer="0.3"/>
  <pageSetup paperSize="9" scale="53" orientation="portrait"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B1:L45"/>
  <sheetViews>
    <sheetView view="pageBreakPreview" topLeftCell="A15" zoomScaleNormal="100" zoomScaleSheetLayoutView="100" workbookViewId="0">
      <selection activeCell="L5" sqref="L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22"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194</v>
      </c>
      <c r="J5" s="39"/>
      <c r="K5" s="27"/>
      <c r="L5" s="292" t="s">
        <v>195</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190</v>
      </c>
      <c r="D11" s="540"/>
      <c r="E11" s="540"/>
      <c r="F11" s="540"/>
      <c r="G11" s="541"/>
      <c r="H11" s="103"/>
      <c r="I11" s="11"/>
      <c r="J11" s="52"/>
      <c r="L11" s="53"/>
    </row>
    <row r="12" spans="2:12" ht="13.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25">
      <c r="B14" s="100"/>
      <c r="C14" s="70">
        <v>1</v>
      </c>
      <c r="D14" s="696" t="s">
        <v>191</v>
      </c>
      <c r="E14" s="697"/>
      <c r="F14" s="613" t="s">
        <v>193</v>
      </c>
      <c r="G14" s="614"/>
      <c r="H14" s="129">
        <v>1</v>
      </c>
      <c r="I14" s="11" t="s">
        <v>43</v>
      </c>
      <c r="J14" s="52">
        <v>520</v>
      </c>
      <c r="K14" s="59"/>
      <c r="L14" s="226">
        <f>H14*J14</f>
        <v>520</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290" t="s">
        <v>182</v>
      </c>
      <c r="D16" s="218"/>
      <c r="E16" s="218"/>
      <c r="F16" s="221"/>
      <c r="G16" s="135"/>
      <c r="H16" s="135"/>
      <c r="I16" s="78"/>
      <c r="J16" s="113"/>
      <c r="K16" s="89"/>
      <c r="L16" s="119"/>
    </row>
    <row r="17" spans="2:12" ht="21.75" customHeight="1" x14ac:dyDescent="0.25">
      <c r="B17" s="100"/>
      <c r="C17" s="290"/>
      <c r="D17" s="218"/>
      <c r="E17" s="218"/>
      <c r="F17" s="221"/>
      <c r="G17" s="135"/>
      <c r="H17" s="135"/>
      <c r="I17" s="78"/>
      <c r="J17" s="113"/>
      <c r="K17" s="89"/>
      <c r="L17" s="119"/>
    </row>
    <row r="18" spans="2:12" x14ac:dyDescent="0.25">
      <c r="B18" s="100"/>
      <c r="C18" s="106"/>
      <c r="D18" s="107"/>
      <c r="E18" s="107"/>
      <c r="F18" s="108"/>
      <c r="G18" s="112"/>
      <c r="H18" s="61"/>
      <c r="I18" s="62"/>
      <c r="J18" s="63"/>
      <c r="K18" s="59"/>
      <c r="L18" s="53"/>
    </row>
    <row r="19" spans="2:12" ht="15.75" customHeight="1" x14ac:dyDescent="0.25">
      <c r="B19" s="100"/>
      <c r="C19" s="539" t="s">
        <v>206</v>
      </c>
      <c r="D19" s="540"/>
      <c r="E19" s="540"/>
      <c r="F19" s="540"/>
      <c r="G19" s="541"/>
      <c r="H19" s="103"/>
      <c r="I19" s="11"/>
      <c r="J19" s="52"/>
      <c r="L19" s="53"/>
    </row>
    <row r="20" spans="2:12" ht="28.5" customHeight="1" x14ac:dyDescent="0.25">
      <c r="B20" s="100"/>
      <c r="C20" s="542"/>
      <c r="D20" s="543"/>
      <c r="E20" s="543"/>
      <c r="F20" s="543"/>
      <c r="G20" s="544"/>
      <c r="H20" s="103"/>
      <c r="I20" s="11"/>
      <c r="J20" s="52"/>
      <c r="L20" s="53"/>
    </row>
    <row r="21" spans="2:12" x14ac:dyDescent="0.25">
      <c r="B21" s="100"/>
      <c r="C21" s="60" t="s">
        <v>21</v>
      </c>
      <c r="D21" s="469" t="s">
        <v>41</v>
      </c>
      <c r="E21" s="469"/>
      <c r="F21" s="469" t="s">
        <v>42</v>
      </c>
      <c r="G21" s="469"/>
      <c r="H21" s="129"/>
      <c r="I21" s="11"/>
      <c r="J21" s="52"/>
      <c r="K21" s="59"/>
      <c r="L21" s="53"/>
    </row>
    <row r="22" spans="2:12" x14ac:dyDescent="0.25">
      <c r="B22" s="100"/>
      <c r="C22" s="244">
        <v>1</v>
      </c>
      <c r="D22" s="696" t="s">
        <v>183</v>
      </c>
      <c r="E22" s="582"/>
      <c r="F22" s="613" t="s">
        <v>193</v>
      </c>
      <c r="G22" s="614"/>
      <c r="H22" s="154">
        <v>1</v>
      </c>
      <c r="I22" s="11" t="s">
        <v>43</v>
      </c>
      <c r="J22" s="52">
        <v>520</v>
      </c>
      <c r="K22" s="59"/>
      <c r="L22" s="226">
        <f>H22*J22</f>
        <v>520</v>
      </c>
    </row>
    <row r="23" spans="2:12" x14ac:dyDescent="0.25">
      <c r="B23" s="100"/>
      <c r="C23" s="106"/>
      <c r="D23" s="107"/>
      <c r="E23" s="107"/>
      <c r="F23" s="108"/>
      <c r="G23" s="112"/>
      <c r="H23" s="61"/>
      <c r="I23" s="62"/>
      <c r="J23" s="63"/>
      <c r="K23" s="59"/>
      <c r="L23" s="53"/>
    </row>
    <row r="24" spans="2:12" x14ac:dyDescent="0.25">
      <c r="B24" s="100"/>
      <c r="C24" s="56" t="s">
        <v>40</v>
      </c>
      <c r="D24" s="107"/>
      <c r="E24" s="107"/>
      <c r="F24" s="108"/>
      <c r="G24" s="112"/>
      <c r="H24" s="61"/>
      <c r="I24" s="62"/>
      <c r="J24" s="63"/>
      <c r="K24" s="59"/>
      <c r="L24" s="53"/>
    </row>
    <row r="25" spans="2:12" x14ac:dyDescent="0.25">
      <c r="B25" s="100"/>
      <c r="C25" s="291" t="s">
        <v>182</v>
      </c>
      <c r="D25" s="107"/>
      <c r="E25" s="107"/>
      <c r="F25" s="108"/>
      <c r="G25" s="112"/>
      <c r="H25" s="61"/>
      <c r="I25" s="62"/>
      <c r="J25" s="63"/>
      <c r="K25" s="59"/>
      <c r="L25" s="53"/>
    </row>
    <row r="26" spans="2:12" x14ac:dyDescent="0.25">
      <c r="B26" s="100"/>
      <c r="C26" s="106"/>
      <c r="D26" s="107"/>
      <c r="E26" s="107"/>
      <c r="F26" s="108"/>
      <c r="G26" s="112"/>
      <c r="H26" s="61"/>
      <c r="I26" s="62"/>
      <c r="J26" s="63"/>
      <c r="K26" s="59"/>
      <c r="L26" s="53"/>
    </row>
    <row r="27" spans="2:12" x14ac:dyDescent="0.25">
      <c r="B27" s="100"/>
      <c r="C27" s="96" t="s">
        <v>33</v>
      </c>
      <c r="D27" s="107"/>
      <c r="E27" s="107"/>
      <c r="F27" s="108"/>
      <c r="G27" s="112"/>
      <c r="H27" s="61"/>
      <c r="I27" s="62"/>
      <c r="J27" s="63"/>
      <c r="K27" s="59"/>
      <c r="L27" s="53"/>
    </row>
    <row r="28" spans="2:12" x14ac:dyDescent="0.25">
      <c r="B28" s="100"/>
      <c r="C28" s="95" t="s">
        <v>34</v>
      </c>
      <c r="D28" s="107"/>
      <c r="E28" s="107"/>
      <c r="F28" s="108"/>
      <c r="G28" s="112"/>
      <c r="H28" s="61"/>
      <c r="I28" s="62"/>
      <c r="J28" s="63"/>
      <c r="K28" s="59"/>
      <c r="L28" s="53"/>
    </row>
    <row r="29" spans="2:12" x14ac:dyDescent="0.25">
      <c r="B29" s="100"/>
      <c r="C29" s="95" t="s">
        <v>35</v>
      </c>
      <c r="D29" s="107"/>
      <c r="E29" s="107"/>
      <c r="F29" s="108"/>
      <c r="G29" s="112"/>
      <c r="H29" s="61"/>
      <c r="I29" s="62"/>
      <c r="J29" s="63"/>
      <c r="K29" s="59"/>
      <c r="L29" s="53"/>
    </row>
    <row r="30" spans="2:12" x14ac:dyDescent="0.25">
      <c r="B30" s="100"/>
      <c r="C30" s="95"/>
      <c r="D30" s="107"/>
      <c r="E30" s="107"/>
      <c r="F30" s="108"/>
      <c r="G30" s="112"/>
      <c r="H30" s="61"/>
      <c r="I30" s="62"/>
      <c r="J30" s="63"/>
      <c r="K30" s="59"/>
      <c r="L30" s="53"/>
    </row>
    <row r="31" spans="2:12" x14ac:dyDescent="0.25">
      <c r="B31" s="100"/>
      <c r="C31" s="96" t="s">
        <v>36</v>
      </c>
      <c r="D31" s="107"/>
      <c r="E31" s="107"/>
      <c r="F31" s="108"/>
      <c r="G31" s="112"/>
      <c r="H31" s="61"/>
      <c r="I31" s="62"/>
      <c r="J31" s="63"/>
      <c r="K31" s="59"/>
      <c r="L31" s="53"/>
    </row>
    <row r="32" spans="2:12" x14ac:dyDescent="0.25">
      <c r="B32" s="100"/>
      <c r="C32" s="95" t="s">
        <v>37</v>
      </c>
      <c r="D32" s="109"/>
      <c r="E32" s="109"/>
      <c r="F32" s="109"/>
      <c r="G32" s="110"/>
      <c r="H32" s="65"/>
      <c r="I32" s="11"/>
      <c r="J32" s="52"/>
      <c r="L32" s="53"/>
    </row>
    <row r="33" spans="2:12" x14ac:dyDescent="0.25">
      <c r="B33" s="100"/>
      <c r="C33" s="95"/>
      <c r="D33" s="109"/>
      <c r="E33" s="109"/>
      <c r="F33" s="109"/>
      <c r="G33" s="110"/>
      <c r="H33" s="65"/>
      <c r="I33" s="11"/>
      <c r="J33" s="52"/>
      <c r="L33" s="53"/>
    </row>
    <row r="34" spans="2:12" x14ac:dyDescent="0.25">
      <c r="B34" s="100"/>
      <c r="C34" s="95"/>
      <c r="D34" s="109"/>
      <c r="E34" s="109"/>
      <c r="F34" s="109"/>
      <c r="G34" s="110"/>
      <c r="H34" s="65"/>
      <c r="I34" s="11"/>
      <c r="J34" s="52"/>
      <c r="L34" s="53"/>
    </row>
    <row r="35" spans="2:12" x14ac:dyDescent="0.25">
      <c r="B35" s="100"/>
      <c r="C35" s="56" t="s">
        <v>8</v>
      </c>
      <c r="D35" s="104"/>
      <c r="E35" s="104"/>
      <c r="F35" s="104"/>
      <c r="G35" s="105"/>
      <c r="H35" s="57"/>
      <c r="I35" s="11"/>
      <c r="J35" s="113"/>
      <c r="K35" s="24"/>
      <c r="L35" s="53"/>
    </row>
    <row r="36" spans="2:12" x14ac:dyDescent="0.25">
      <c r="B36" s="100"/>
      <c r="C36" s="54" t="s">
        <v>7</v>
      </c>
      <c r="D36" s="102"/>
      <c r="E36" s="102"/>
      <c r="F36" s="102"/>
      <c r="G36" s="103"/>
      <c r="H36" s="55"/>
      <c r="I36" s="11"/>
      <c r="J36" s="113"/>
      <c r="K36" s="24"/>
      <c r="L36" s="53"/>
    </row>
    <row r="37" spans="2:12" x14ac:dyDescent="0.25">
      <c r="B37" s="101"/>
      <c r="C37" s="66"/>
      <c r="D37" s="67"/>
      <c r="E37" s="67"/>
      <c r="F37" s="67"/>
      <c r="G37" s="111"/>
      <c r="H37" s="68"/>
      <c r="I37" s="10"/>
      <c r="J37" s="114" t="s">
        <v>6</v>
      </c>
      <c r="K37" s="72" t="s">
        <v>5</v>
      </c>
      <c r="L37" s="69">
        <f>SUM(L14:L35)</f>
        <v>1040</v>
      </c>
    </row>
    <row r="38" spans="2:12" ht="33" customHeight="1" x14ac:dyDescent="0.25">
      <c r="B38" s="88" t="s">
        <v>4</v>
      </c>
      <c r="C38" s="534" t="s">
        <v>205</v>
      </c>
      <c r="D38" s="535"/>
      <c r="E38" s="535"/>
      <c r="F38" s="535"/>
      <c r="G38" s="535"/>
      <c r="H38" s="535"/>
      <c r="I38" s="535"/>
      <c r="J38" s="535"/>
      <c r="K38" s="535"/>
      <c r="L38" s="536"/>
    </row>
    <row r="39" spans="2:12" x14ac:dyDescent="0.25">
      <c r="B39" s="136"/>
      <c r="C39" s="137"/>
      <c r="D39" s="138"/>
      <c r="E39" s="138"/>
      <c r="F39" s="138"/>
      <c r="G39" s="138"/>
      <c r="H39" s="138"/>
      <c r="I39" s="138"/>
      <c r="J39" s="138"/>
      <c r="K39" s="138"/>
      <c r="L39" s="141"/>
    </row>
    <row r="40" spans="2:12" x14ac:dyDescent="0.25">
      <c r="B40" s="136"/>
      <c r="C40" s="139"/>
      <c r="D40" s="140"/>
      <c r="E40" s="140"/>
      <c r="F40" s="140"/>
      <c r="G40" s="140"/>
      <c r="H40" s="117"/>
      <c r="I40" s="117"/>
      <c r="J40" s="117"/>
      <c r="K40" s="117"/>
      <c r="L40" s="118"/>
    </row>
    <row r="41" spans="2:12" x14ac:dyDescent="0.25">
      <c r="B41" s="73"/>
      <c r="C41" s="445"/>
      <c r="D41" s="444"/>
      <c r="E41" s="444"/>
      <c r="F41" s="444"/>
      <c r="G41" s="444"/>
      <c r="H41" s="441" t="s">
        <v>3</v>
      </c>
      <c r="I41" s="442"/>
      <c r="J41" s="442"/>
      <c r="K41" s="442"/>
      <c r="L41" s="443"/>
    </row>
    <row r="42" spans="2:12" x14ac:dyDescent="0.25">
      <c r="B42" s="25"/>
      <c r="C42" s="450"/>
      <c r="D42" s="480"/>
      <c r="E42" s="480"/>
      <c r="F42" s="480"/>
      <c r="G42" s="451"/>
      <c r="H42" s="454"/>
      <c r="I42" s="455"/>
      <c r="J42" s="455"/>
      <c r="K42" s="455"/>
      <c r="L42" s="456"/>
    </row>
    <row r="43" spans="2:12" x14ac:dyDescent="0.25">
      <c r="B43" s="78" t="s">
        <v>2</v>
      </c>
      <c r="C43" s="452"/>
      <c r="D43" s="481"/>
      <c r="E43" s="481"/>
      <c r="F43" s="481"/>
      <c r="G43" s="453"/>
      <c r="H43" s="457"/>
      <c r="I43" s="458"/>
      <c r="J43" s="458"/>
      <c r="K43" s="458"/>
      <c r="L43" s="459"/>
    </row>
    <row r="44" spans="2:12" x14ac:dyDescent="0.25">
      <c r="B44" s="78" t="s">
        <v>1</v>
      </c>
      <c r="C44" s="440" t="s">
        <v>203</v>
      </c>
      <c r="D44" s="440"/>
      <c r="E44" s="440"/>
      <c r="F44" s="440"/>
      <c r="G44" s="440"/>
      <c r="H44" s="441" t="s">
        <v>31</v>
      </c>
      <c r="I44" s="442"/>
      <c r="J44" s="442"/>
      <c r="K44" s="442"/>
      <c r="L44" s="443"/>
    </row>
    <row r="45" spans="2:12" x14ac:dyDescent="0.25">
      <c r="B45" s="83" t="s">
        <v>0</v>
      </c>
      <c r="C45" s="444" t="s">
        <v>204</v>
      </c>
      <c r="D45" s="444"/>
      <c r="E45" s="444"/>
      <c r="F45" s="444"/>
      <c r="G45" s="444"/>
      <c r="H45" s="445" t="s">
        <v>32</v>
      </c>
      <c r="I45" s="444"/>
      <c r="J45" s="444"/>
      <c r="K45" s="444"/>
      <c r="L45" s="446"/>
    </row>
  </sheetData>
  <mergeCells count="26">
    <mergeCell ref="C8:G8"/>
    <mergeCell ref="K8:L8"/>
    <mergeCell ref="B1:L1"/>
    <mergeCell ref="B2:L2"/>
    <mergeCell ref="B3:L3"/>
    <mergeCell ref="B4:L4"/>
    <mergeCell ref="C6:H6"/>
    <mergeCell ref="C41:G41"/>
    <mergeCell ref="H41:L41"/>
    <mergeCell ref="C11:G12"/>
    <mergeCell ref="D13:E13"/>
    <mergeCell ref="F13:G13"/>
    <mergeCell ref="C19:G20"/>
    <mergeCell ref="D14:E14"/>
    <mergeCell ref="F14:G14"/>
    <mergeCell ref="D21:E21"/>
    <mergeCell ref="F21:G21"/>
    <mergeCell ref="D22:E22"/>
    <mergeCell ref="F22:G22"/>
    <mergeCell ref="C38:L38"/>
    <mergeCell ref="C42:G43"/>
    <mergeCell ref="H42:L43"/>
    <mergeCell ref="C44:G44"/>
    <mergeCell ref="H44:L44"/>
    <mergeCell ref="C45:G45"/>
    <mergeCell ref="H45:L45"/>
  </mergeCells>
  <hyperlinks>
    <hyperlink ref="D22" r:id="rId1" xr:uid="{00000000-0004-0000-0C00-000000000000}"/>
    <hyperlink ref="C25" r:id="rId2" display="Globe@500" xr:uid="{00000000-0004-0000-0C00-000001000000}"/>
  </hyperlinks>
  <pageMargins left="0.23622047244094491" right="0.23622047244094491" top="1.1417322834645669" bottom="0.74803149606299213" header="0.31496062992125984" footer="0.31496062992125984"/>
  <pageSetup paperSize="9" scale="67" fitToHeight="0" orientation="portrait" r:id="rId3"/>
  <legacyDrawing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B1:L43"/>
  <sheetViews>
    <sheetView view="pageBreakPreview" topLeftCell="A31" zoomScaleNormal="100" zoomScaleSheetLayoutView="100" workbookViewId="0">
      <selection activeCell="C18" sqref="C18:G19"/>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105</v>
      </c>
      <c r="J5" s="39" t="s">
        <v>192</v>
      </c>
      <c r="K5" s="27"/>
      <c r="L5" s="40" t="s">
        <v>196</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198</v>
      </c>
      <c r="D11" s="540"/>
      <c r="E11" s="540"/>
      <c r="F11" s="540"/>
      <c r="G11" s="541"/>
      <c r="H11" s="103"/>
      <c r="I11" s="11"/>
      <c r="J11" s="52"/>
      <c r="L11" s="53"/>
    </row>
    <row r="12" spans="2:12" ht="28.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3">
      <c r="B14" s="100"/>
      <c r="C14" s="244">
        <v>1</v>
      </c>
      <c r="D14" s="581" t="s">
        <v>143</v>
      </c>
      <c r="E14" s="582"/>
      <c r="F14" s="612" t="s">
        <v>200</v>
      </c>
      <c r="G14" s="584"/>
      <c r="H14" s="154">
        <v>1</v>
      </c>
      <c r="I14" s="293" t="s">
        <v>43</v>
      </c>
      <c r="J14" s="294">
        <v>750</v>
      </c>
      <c r="K14" s="295"/>
      <c r="L14" s="296">
        <f>H14*J14</f>
        <v>750</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106" t="s">
        <v>170</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ht="21.75" customHeight="1" x14ac:dyDescent="0.25">
      <c r="B18" s="100"/>
      <c r="C18" s="539" t="s">
        <v>199</v>
      </c>
      <c r="D18" s="540"/>
      <c r="E18" s="540"/>
      <c r="F18" s="540"/>
      <c r="G18" s="541"/>
      <c r="H18" s="135"/>
      <c r="I18" s="78"/>
      <c r="J18" s="113"/>
      <c r="K18" s="89"/>
      <c r="L18" s="119"/>
    </row>
    <row r="19" spans="2:12" ht="21.75" customHeight="1" x14ac:dyDescent="0.25">
      <c r="B19" s="100"/>
      <c r="C19" s="542"/>
      <c r="D19" s="543"/>
      <c r="E19" s="543"/>
      <c r="F19" s="543"/>
      <c r="G19" s="544"/>
      <c r="H19" s="135"/>
      <c r="I19" s="78"/>
      <c r="J19" s="113"/>
      <c r="K19" s="89"/>
      <c r="L19" s="119"/>
    </row>
    <row r="20" spans="2:12" ht="21.75" customHeight="1" x14ac:dyDescent="0.25">
      <c r="B20" s="100"/>
      <c r="C20" s="60" t="s">
        <v>21</v>
      </c>
      <c r="D20" s="469" t="s">
        <v>41</v>
      </c>
      <c r="E20" s="469"/>
      <c r="F20" s="469" t="s">
        <v>42</v>
      </c>
      <c r="G20" s="469"/>
      <c r="H20" s="135"/>
      <c r="I20" s="78"/>
      <c r="J20" s="113"/>
      <c r="K20" s="89"/>
      <c r="L20" s="119"/>
    </row>
    <row r="21" spans="2:12" ht="21.75" customHeight="1" x14ac:dyDescent="0.3">
      <c r="B21" s="100"/>
      <c r="C21" s="244">
        <v>1</v>
      </c>
      <c r="D21" s="581" t="s">
        <v>143</v>
      </c>
      <c r="E21" s="582"/>
      <c r="F21" s="612" t="s">
        <v>201</v>
      </c>
      <c r="G21" s="584"/>
      <c r="H21" s="135">
        <v>1</v>
      </c>
      <c r="I21" s="293" t="s">
        <v>43</v>
      </c>
      <c r="J21" s="294">
        <v>750</v>
      </c>
      <c r="K21" s="295"/>
      <c r="L21" s="296">
        <f>H21*J21</f>
        <v>750</v>
      </c>
    </row>
    <row r="22" spans="2:12" ht="21.75" customHeight="1" x14ac:dyDescent="0.25">
      <c r="B22" s="100"/>
      <c r="C22" s="147" t="s">
        <v>40</v>
      </c>
      <c r="D22" s="148"/>
      <c r="E22" s="148"/>
      <c r="F22" s="133"/>
      <c r="G22" s="134"/>
      <c r="H22" s="135"/>
      <c r="I22" s="78"/>
      <c r="J22" s="113"/>
      <c r="K22" s="89"/>
      <c r="L22" s="119"/>
    </row>
    <row r="23" spans="2:12" ht="21.75" customHeight="1" x14ac:dyDescent="0.25">
      <c r="B23" s="100"/>
      <c r="C23" s="106" t="s">
        <v>170</v>
      </c>
      <c r="D23" s="218"/>
      <c r="E23" s="218"/>
      <c r="F23" s="221"/>
      <c r="G23" s="135"/>
      <c r="H23" s="135"/>
      <c r="I23" s="78"/>
      <c r="J23" s="113"/>
      <c r="K23" s="89"/>
      <c r="L23" s="119"/>
    </row>
    <row r="24" spans="2:12" ht="21.75" customHeight="1" x14ac:dyDescent="0.25">
      <c r="B24" s="100"/>
      <c r="C24" s="106"/>
      <c r="D24" s="218"/>
      <c r="E24" s="218"/>
      <c r="F24" s="221"/>
      <c r="G24" s="135"/>
      <c r="H24" s="135"/>
      <c r="I24" s="78"/>
      <c r="J24" s="113"/>
      <c r="K24" s="89"/>
      <c r="L24" s="119"/>
    </row>
    <row r="25" spans="2:12" x14ac:dyDescent="0.25">
      <c r="B25" s="100"/>
      <c r="C25" s="96" t="s">
        <v>33</v>
      </c>
      <c r="D25" s="107"/>
      <c r="E25" s="107"/>
      <c r="F25" s="108"/>
      <c r="G25" s="112"/>
      <c r="H25" s="61"/>
      <c r="I25" s="62"/>
      <c r="J25" s="63"/>
      <c r="K25" s="59"/>
      <c r="L25" s="53"/>
    </row>
    <row r="26" spans="2:12" ht="15.75" customHeight="1" x14ac:dyDescent="0.25">
      <c r="B26" s="100"/>
      <c r="C26" s="95" t="s">
        <v>34</v>
      </c>
      <c r="D26" s="107"/>
      <c r="E26" s="107"/>
      <c r="F26" s="108"/>
      <c r="G26" s="112"/>
      <c r="H26" s="61"/>
      <c r="I26" s="62"/>
      <c r="J26" s="63"/>
      <c r="K26" s="59"/>
      <c r="L26" s="53"/>
    </row>
    <row r="27" spans="2:12" ht="15.75" customHeight="1" x14ac:dyDescent="0.25">
      <c r="B27" s="100"/>
      <c r="C27" s="95" t="s">
        <v>35</v>
      </c>
      <c r="D27" s="107"/>
      <c r="E27" s="107"/>
      <c r="F27" s="108"/>
      <c r="G27" s="112"/>
      <c r="H27" s="61"/>
      <c r="I27" s="62"/>
      <c r="J27" s="63"/>
      <c r="K27" s="59"/>
      <c r="L27" s="53"/>
    </row>
    <row r="28" spans="2:12" x14ac:dyDescent="0.25">
      <c r="B28" s="100"/>
      <c r="C28" s="95"/>
      <c r="D28" s="107"/>
      <c r="E28" s="107"/>
      <c r="F28" s="108"/>
      <c r="G28" s="112"/>
      <c r="H28" s="61"/>
      <c r="I28" s="62"/>
      <c r="J28" s="63"/>
      <c r="K28" s="59"/>
      <c r="L28" s="53"/>
    </row>
    <row r="29" spans="2:12" x14ac:dyDescent="0.25">
      <c r="B29" s="100"/>
      <c r="C29" s="96" t="s">
        <v>36</v>
      </c>
      <c r="D29" s="107"/>
      <c r="E29" s="107"/>
      <c r="F29" s="108"/>
      <c r="G29" s="112"/>
      <c r="H29" s="61"/>
      <c r="I29" s="62"/>
      <c r="J29" s="63"/>
      <c r="K29" s="59"/>
      <c r="L29" s="53"/>
    </row>
    <row r="30" spans="2:12" x14ac:dyDescent="0.25">
      <c r="B30" s="100"/>
      <c r="C30" s="95" t="s">
        <v>37</v>
      </c>
      <c r="D30" s="109"/>
      <c r="E30" s="109"/>
      <c r="F30" s="109"/>
      <c r="G30" s="110"/>
      <c r="H30" s="65"/>
      <c r="I30" s="11"/>
      <c r="J30" s="52"/>
      <c r="L30" s="53"/>
    </row>
    <row r="31" spans="2:12" x14ac:dyDescent="0.25">
      <c r="B31" s="100"/>
      <c r="C31" s="95"/>
      <c r="D31" s="109"/>
      <c r="E31" s="109"/>
      <c r="F31" s="109"/>
      <c r="G31" s="110"/>
      <c r="H31" s="65"/>
      <c r="I31" s="11"/>
      <c r="J31" s="52"/>
      <c r="L31" s="53"/>
    </row>
    <row r="32" spans="2:12" x14ac:dyDescent="0.25">
      <c r="B32" s="100"/>
      <c r="C32" s="95"/>
      <c r="D32" s="109"/>
      <c r="E32" s="109"/>
      <c r="F32" s="109"/>
      <c r="G32" s="110"/>
      <c r="H32" s="65"/>
      <c r="I32" s="11"/>
      <c r="J32" s="52"/>
      <c r="L32" s="53"/>
    </row>
    <row r="33" spans="2:12" x14ac:dyDescent="0.25">
      <c r="B33" s="100"/>
      <c r="C33" s="56" t="s">
        <v>8</v>
      </c>
      <c r="D33" s="104"/>
      <c r="E33" s="104"/>
      <c r="F33" s="104"/>
      <c r="G33" s="105"/>
      <c r="H33" s="57"/>
      <c r="I33" s="11"/>
      <c r="J33" s="113"/>
      <c r="K33" s="24"/>
      <c r="L33" s="53"/>
    </row>
    <row r="34" spans="2:12" x14ac:dyDescent="0.25">
      <c r="B34" s="100"/>
      <c r="C34" s="54" t="s">
        <v>7</v>
      </c>
      <c r="D34" s="102"/>
      <c r="E34" s="102"/>
      <c r="F34" s="102"/>
      <c r="G34" s="103"/>
      <c r="H34" s="55"/>
      <c r="I34" s="11"/>
      <c r="J34" s="113"/>
      <c r="K34" s="24"/>
      <c r="L34" s="53"/>
    </row>
    <row r="35" spans="2:12" x14ac:dyDescent="0.25">
      <c r="B35" s="101"/>
      <c r="C35" s="66"/>
      <c r="D35" s="67"/>
      <c r="E35" s="67"/>
      <c r="F35" s="67"/>
      <c r="G35" s="111"/>
      <c r="H35" s="68"/>
      <c r="I35" s="10"/>
      <c r="J35" s="114" t="s">
        <v>6</v>
      </c>
      <c r="K35" s="72" t="s">
        <v>5</v>
      </c>
      <c r="L35" s="69">
        <f>L14+L21</f>
        <v>1500</v>
      </c>
    </row>
    <row r="36" spans="2:12" ht="33" customHeight="1" x14ac:dyDescent="0.25">
      <c r="B36" s="88" t="s">
        <v>4</v>
      </c>
      <c r="C36" s="534" t="s">
        <v>202</v>
      </c>
      <c r="D36" s="535"/>
      <c r="E36" s="535"/>
      <c r="F36" s="535"/>
      <c r="G36" s="535"/>
      <c r="H36" s="535"/>
      <c r="I36" s="535"/>
      <c r="J36" s="535"/>
      <c r="K36" s="535"/>
      <c r="L36" s="536"/>
    </row>
    <row r="37" spans="2:12" x14ac:dyDescent="0.25">
      <c r="B37" s="136"/>
      <c r="C37" s="137"/>
      <c r="D37" s="138"/>
      <c r="E37" s="138"/>
      <c r="F37" s="138"/>
      <c r="G37" s="138"/>
      <c r="H37" s="138"/>
      <c r="I37" s="138"/>
      <c r="J37" s="138"/>
      <c r="K37" s="138"/>
      <c r="L37" s="141"/>
    </row>
    <row r="38" spans="2:12" x14ac:dyDescent="0.25">
      <c r="B38" s="136"/>
      <c r="C38" s="139"/>
      <c r="D38" s="140"/>
      <c r="E38" s="140"/>
      <c r="F38" s="140"/>
      <c r="G38" s="140"/>
      <c r="H38" s="117"/>
      <c r="I38" s="117"/>
      <c r="J38" s="117"/>
      <c r="K38" s="117"/>
      <c r="L38" s="118"/>
    </row>
    <row r="39" spans="2:12" x14ac:dyDescent="0.25">
      <c r="B39" s="73"/>
      <c r="C39" s="445"/>
      <c r="D39" s="444"/>
      <c r="E39" s="444"/>
      <c r="F39" s="444"/>
      <c r="G39" s="444"/>
      <c r="H39" s="441" t="s">
        <v>3</v>
      </c>
      <c r="I39" s="442"/>
      <c r="J39" s="442"/>
      <c r="K39" s="442"/>
      <c r="L39" s="443"/>
    </row>
    <row r="40" spans="2:12" x14ac:dyDescent="0.25">
      <c r="B40" s="25"/>
      <c r="C40" s="450"/>
      <c r="D40" s="480"/>
      <c r="E40" s="480"/>
      <c r="F40" s="480"/>
      <c r="G40" s="451"/>
      <c r="H40" s="454"/>
      <c r="I40" s="455"/>
      <c r="J40" s="455"/>
      <c r="K40" s="455"/>
      <c r="L40" s="456"/>
    </row>
    <row r="41" spans="2:12" x14ac:dyDescent="0.25">
      <c r="B41" s="78" t="s">
        <v>2</v>
      </c>
      <c r="C41" s="452"/>
      <c r="D41" s="481"/>
      <c r="E41" s="481"/>
      <c r="F41" s="481"/>
      <c r="G41" s="453"/>
      <c r="H41" s="457"/>
      <c r="I41" s="458"/>
      <c r="J41" s="458"/>
      <c r="K41" s="458"/>
      <c r="L41" s="459"/>
    </row>
    <row r="42" spans="2:12" x14ac:dyDescent="0.25">
      <c r="B42" s="78" t="s">
        <v>1</v>
      </c>
      <c r="C42" s="440" t="s">
        <v>48</v>
      </c>
      <c r="D42" s="440"/>
      <c r="E42" s="440"/>
      <c r="F42" s="440"/>
      <c r="G42" s="440"/>
      <c r="H42" s="441" t="s">
        <v>31</v>
      </c>
      <c r="I42" s="442"/>
      <c r="J42" s="442"/>
      <c r="K42" s="442"/>
      <c r="L42" s="443"/>
    </row>
    <row r="43" spans="2:12" x14ac:dyDescent="0.25">
      <c r="B43" s="83" t="s">
        <v>0</v>
      </c>
      <c r="C43" s="444" t="s">
        <v>197</v>
      </c>
      <c r="D43" s="444"/>
      <c r="E43" s="444"/>
      <c r="F43" s="444"/>
      <c r="G43" s="444"/>
      <c r="H43" s="445" t="s">
        <v>32</v>
      </c>
      <c r="I43" s="444"/>
      <c r="J43" s="444"/>
      <c r="K43" s="444"/>
      <c r="L43" s="446"/>
    </row>
  </sheetData>
  <mergeCells count="26">
    <mergeCell ref="D14:E14"/>
    <mergeCell ref="F14:G14"/>
    <mergeCell ref="C18:G19"/>
    <mergeCell ref="D20:E20"/>
    <mergeCell ref="F20:G20"/>
    <mergeCell ref="C8:G8"/>
    <mergeCell ref="K8:L8"/>
    <mergeCell ref="C11:G12"/>
    <mergeCell ref="D13:E13"/>
    <mergeCell ref="F13:G13"/>
    <mergeCell ref="B1:L1"/>
    <mergeCell ref="B2:L2"/>
    <mergeCell ref="B3:L3"/>
    <mergeCell ref="B4:L4"/>
    <mergeCell ref="C6:H6"/>
    <mergeCell ref="D21:E21"/>
    <mergeCell ref="F21:G21"/>
    <mergeCell ref="C43:G43"/>
    <mergeCell ref="H43:L43"/>
    <mergeCell ref="C39:G39"/>
    <mergeCell ref="H39:L39"/>
    <mergeCell ref="C40:G41"/>
    <mergeCell ref="H40:L41"/>
    <mergeCell ref="C42:G42"/>
    <mergeCell ref="H42:L42"/>
    <mergeCell ref="C36:L36"/>
  </mergeCells>
  <pageMargins left="0.23622047244094491" right="0.23622047244094491" top="1.1417322834645669" bottom="0.74803149606299213" header="0.31496062992125984" footer="0.31496062992125984"/>
  <pageSetup paperSize="9" scale="73" fitToHeight="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B1:L38"/>
  <sheetViews>
    <sheetView view="pageBreakPreview" topLeftCell="A5" zoomScaleNormal="100" zoomScaleSheetLayoutView="100" workbookViewId="0">
      <selection activeCell="D19" sqref="D19"/>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208</v>
      </c>
      <c r="J5" s="39"/>
      <c r="K5" s="27"/>
      <c r="L5" s="40" t="s">
        <v>209</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210</v>
      </c>
      <c r="D11" s="540"/>
      <c r="E11" s="540"/>
      <c r="F11" s="540"/>
      <c r="G11" s="541"/>
      <c r="H11" s="103"/>
      <c r="I11" s="11"/>
      <c r="J11" s="52"/>
      <c r="L11" s="53"/>
    </row>
    <row r="12" spans="2:12" ht="21.7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3">
      <c r="B14" s="100"/>
      <c r="C14" s="244">
        <v>1</v>
      </c>
      <c r="D14" s="581" t="s">
        <v>143</v>
      </c>
      <c r="E14" s="582"/>
      <c r="F14" s="612" t="s">
        <v>211</v>
      </c>
      <c r="G14" s="584"/>
      <c r="H14" s="154">
        <v>1</v>
      </c>
      <c r="I14" s="293" t="s">
        <v>43</v>
      </c>
      <c r="J14" s="294">
        <v>300</v>
      </c>
      <c r="K14" s="295"/>
      <c r="L14" s="296">
        <f>H14*J14</f>
        <v>300</v>
      </c>
    </row>
    <row r="15" spans="2:12" ht="21" customHeight="1" x14ac:dyDescent="0.3">
      <c r="B15" s="100"/>
      <c r="C15" s="244">
        <v>1</v>
      </c>
      <c r="D15" s="581" t="s">
        <v>143</v>
      </c>
      <c r="E15" s="582"/>
      <c r="F15" s="616"/>
      <c r="G15" s="617"/>
      <c r="H15" s="154">
        <v>1</v>
      </c>
      <c r="I15" s="293" t="s">
        <v>43</v>
      </c>
      <c r="J15" s="294">
        <v>200</v>
      </c>
      <c r="K15" s="295"/>
      <c r="L15" s="296">
        <f>H15*J15</f>
        <v>200</v>
      </c>
    </row>
    <row r="16" spans="2:12" ht="31.5" customHeight="1" x14ac:dyDescent="0.25">
      <c r="B16" s="100"/>
      <c r="C16" s="147" t="s">
        <v>40</v>
      </c>
      <c r="D16" s="148"/>
      <c r="E16" s="148"/>
      <c r="F16" s="133"/>
      <c r="G16" s="134"/>
      <c r="H16" s="135"/>
      <c r="I16" s="78"/>
      <c r="J16" s="113"/>
      <c r="K16" s="89"/>
      <c r="L16" s="119"/>
    </row>
    <row r="17" spans="2:12" ht="20.25" customHeight="1" x14ac:dyDescent="0.25">
      <c r="B17" s="100"/>
      <c r="C17" s="106" t="s">
        <v>214</v>
      </c>
      <c r="D17" s="218"/>
      <c r="E17" s="218"/>
      <c r="F17" s="221"/>
      <c r="G17" s="135"/>
      <c r="H17" s="135"/>
      <c r="I17" s="78"/>
      <c r="J17" s="113"/>
      <c r="K17" s="89"/>
      <c r="L17" s="119"/>
    </row>
    <row r="18" spans="2:12" ht="21.75" customHeight="1" x14ac:dyDescent="0.25">
      <c r="B18" s="100"/>
      <c r="C18" s="106" t="s">
        <v>215</v>
      </c>
      <c r="D18" s="218"/>
      <c r="E18" s="218"/>
      <c r="F18" s="221"/>
      <c r="G18" s="135"/>
      <c r="H18" s="135"/>
      <c r="I18" s="78"/>
      <c r="J18" s="113"/>
      <c r="K18" s="89"/>
      <c r="L18" s="119"/>
    </row>
    <row r="19" spans="2:12" ht="21.75" customHeight="1" x14ac:dyDescent="0.25">
      <c r="B19" s="100"/>
      <c r="C19" s="106"/>
      <c r="D19" s="218"/>
      <c r="E19" s="218"/>
      <c r="F19" s="221"/>
      <c r="G19" s="135"/>
      <c r="H19" s="135"/>
      <c r="I19" s="78"/>
      <c r="J19" s="113"/>
      <c r="K19" s="89"/>
      <c r="L19" s="119"/>
    </row>
    <row r="20" spans="2:12" x14ac:dyDescent="0.25">
      <c r="B20" s="100"/>
      <c r="C20" s="96" t="s">
        <v>33</v>
      </c>
      <c r="D20" s="107"/>
      <c r="E20" s="107"/>
      <c r="F20" s="108"/>
      <c r="G20" s="112"/>
      <c r="H20" s="61"/>
      <c r="I20" s="62"/>
      <c r="J20" s="63"/>
      <c r="K20" s="59"/>
      <c r="L20" s="53"/>
    </row>
    <row r="21" spans="2:12" ht="15.75" customHeight="1" x14ac:dyDescent="0.25">
      <c r="B21" s="100"/>
      <c r="C21" s="95" t="s">
        <v>34</v>
      </c>
      <c r="D21" s="107"/>
      <c r="E21" s="107"/>
      <c r="F21" s="108"/>
      <c r="G21" s="112"/>
      <c r="H21" s="61"/>
      <c r="I21" s="62"/>
      <c r="J21" s="63"/>
      <c r="K21" s="59"/>
      <c r="L21" s="53"/>
    </row>
    <row r="22" spans="2:12" ht="15.75" customHeight="1" x14ac:dyDescent="0.25">
      <c r="B22" s="100"/>
      <c r="C22" s="95" t="s">
        <v>35</v>
      </c>
      <c r="D22" s="107"/>
      <c r="E22" s="107"/>
      <c r="F22" s="108"/>
      <c r="G22" s="112"/>
      <c r="H22" s="61"/>
      <c r="I22" s="62"/>
      <c r="J22" s="63"/>
      <c r="K22" s="59"/>
      <c r="L22" s="53"/>
    </row>
    <row r="23" spans="2:12" x14ac:dyDescent="0.25">
      <c r="B23" s="100"/>
      <c r="C23" s="95"/>
      <c r="D23" s="107"/>
      <c r="E23" s="107"/>
      <c r="F23" s="108"/>
      <c r="G23" s="112"/>
      <c r="H23" s="61"/>
      <c r="I23" s="62"/>
      <c r="J23" s="63"/>
      <c r="K23" s="59"/>
      <c r="L23" s="53"/>
    </row>
    <row r="24" spans="2:12" x14ac:dyDescent="0.25">
      <c r="B24" s="100"/>
      <c r="C24" s="96" t="s">
        <v>36</v>
      </c>
      <c r="D24" s="107"/>
      <c r="E24" s="107"/>
      <c r="F24" s="108"/>
      <c r="G24" s="112"/>
      <c r="H24" s="61"/>
      <c r="I24" s="62"/>
      <c r="J24" s="63"/>
      <c r="K24" s="59"/>
      <c r="L24" s="53"/>
    </row>
    <row r="25" spans="2:12" x14ac:dyDescent="0.25">
      <c r="B25" s="100"/>
      <c r="C25" s="95" t="s">
        <v>37</v>
      </c>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95"/>
      <c r="D27" s="109"/>
      <c r="E27" s="109"/>
      <c r="F27" s="109"/>
      <c r="G27" s="110"/>
      <c r="H27" s="65"/>
      <c r="I27" s="11"/>
      <c r="J27" s="52"/>
      <c r="L27" s="53"/>
    </row>
    <row r="28" spans="2:12" x14ac:dyDescent="0.25">
      <c r="B28" s="100"/>
      <c r="C28" s="56" t="s">
        <v>8</v>
      </c>
      <c r="D28" s="104"/>
      <c r="E28" s="104"/>
      <c r="F28" s="104"/>
      <c r="G28" s="105"/>
      <c r="H28" s="57"/>
      <c r="I28" s="11"/>
      <c r="J28" s="113"/>
      <c r="K28" s="24"/>
      <c r="L28" s="53"/>
    </row>
    <row r="29" spans="2:12" x14ac:dyDescent="0.25">
      <c r="B29" s="100"/>
      <c r="C29" s="54" t="s">
        <v>7</v>
      </c>
      <c r="D29" s="102"/>
      <c r="E29" s="102"/>
      <c r="F29" s="102"/>
      <c r="G29" s="103"/>
      <c r="H29" s="55"/>
      <c r="I29" s="11"/>
      <c r="J29" s="113"/>
      <c r="K29" s="24"/>
      <c r="L29" s="53"/>
    </row>
    <row r="30" spans="2:12" x14ac:dyDescent="0.25">
      <c r="B30" s="101"/>
      <c r="C30" s="66"/>
      <c r="D30" s="67"/>
      <c r="E30" s="67"/>
      <c r="F30" s="67"/>
      <c r="G30" s="111"/>
      <c r="H30" s="68"/>
      <c r="I30" s="10"/>
      <c r="J30" s="114" t="s">
        <v>6</v>
      </c>
      <c r="K30" s="72" t="s">
        <v>5</v>
      </c>
      <c r="L30" s="69">
        <f>L14</f>
        <v>300</v>
      </c>
    </row>
    <row r="31" spans="2:12" ht="24.75" customHeight="1" x14ac:dyDescent="0.25">
      <c r="B31" s="88" t="s">
        <v>4</v>
      </c>
      <c r="C31" s="534" t="s">
        <v>212</v>
      </c>
      <c r="D31" s="535"/>
      <c r="E31" s="535"/>
      <c r="F31" s="535"/>
      <c r="G31" s="535"/>
      <c r="H31" s="535"/>
      <c r="I31" s="535"/>
      <c r="J31" s="535"/>
      <c r="K31" s="535"/>
      <c r="L31" s="536"/>
    </row>
    <row r="32" spans="2:12" x14ac:dyDescent="0.25">
      <c r="B32" s="136"/>
      <c r="C32" s="137"/>
      <c r="D32" s="138"/>
      <c r="E32" s="138"/>
      <c r="F32" s="138"/>
      <c r="G32" s="138"/>
      <c r="H32" s="138"/>
      <c r="I32" s="138"/>
      <c r="J32" s="138"/>
      <c r="K32" s="138"/>
      <c r="L32" s="141"/>
    </row>
    <row r="33" spans="2:12" x14ac:dyDescent="0.25">
      <c r="B33" s="136"/>
      <c r="C33" s="139"/>
      <c r="D33" s="140"/>
      <c r="E33" s="140"/>
      <c r="F33" s="140"/>
      <c r="G33" s="140"/>
      <c r="H33" s="117"/>
      <c r="I33" s="117"/>
      <c r="J33" s="117"/>
      <c r="K33" s="117"/>
      <c r="L33" s="118"/>
    </row>
    <row r="34" spans="2:12" x14ac:dyDescent="0.25">
      <c r="B34" s="73"/>
      <c r="C34" s="445"/>
      <c r="D34" s="444"/>
      <c r="E34" s="444"/>
      <c r="F34" s="444"/>
      <c r="G34" s="444"/>
      <c r="H34" s="441" t="s">
        <v>3</v>
      </c>
      <c r="I34" s="442"/>
      <c r="J34" s="442"/>
      <c r="K34" s="442"/>
      <c r="L34" s="443"/>
    </row>
    <row r="35" spans="2:12" x14ac:dyDescent="0.25">
      <c r="B35" s="25"/>
      <c r="C35" s="450"/>
      <c r="D35" s="480"/>
      <c r="E35" s="480"/>
      <c r="F35" s="480"/>
      <c r="G35" s="451"/>
      <c r="H35" s="454"/>
      <c r="I35" s="455"/>
      <c r="J35" s="455"/>
      <c r="K35" s="455"/>
      <c r="L35" s="456"/>
    </row>
    <row r="36" spans="2:12" x14ac:dyDescent="0.25">
      <c r="B36" s="78" t="s">
        <v>2</v>
      </c>
      <c r="C36" s="452"/>
      <c r="D36" s="481"/>
      <c r="E36" s="481"/>
      <c r="F36" s="481"/>
      <c r="G36" s="453"/>
      <c r="H36" s="457"/>
      <c r="I36" s="458"/>
      <c r="J36" s="458"/>
      <c r="K36" s="458"/>
      <c r="L36" s="459"/>
    </row>
    <row r="37" spans="2:12" x14ac:dyDescent="0.25">
      <c r="B37" s="78" t="s">
        <v>1</v>
      </c>
      <c r="C37" s="440" t="s">
        <v>48</v>
      </c>
      <c r="D37" s="440"/>
      <c r="E37" s="440"/>
      <c r="F37" s="440"/>
      <c r="G37" s="440"/>
      <c r="H37" s="441" t="s">
        <v>31</v>
      </c>
      <c r="I37" s="442"/>
      <c r="J37" s="442"/>
      <c r="K37" s="442"/>
      <c r="L37" s="443"/>
    </row>
    <row r="38" spans="2:12" x14ac:dyDescent="0.25">
      <c r="B38" s="83" t="s">
        <v>0</v>
      </c>
      <c r="C38" s="444" t="s">
        <v>213</v>
      </c>
      <c r="D38" s="444"/>
      <c r="E38" s="444"/>
      <c r="F38" s="444"/>
      <c r="G38" s="444"/>
      <c r="H38" s="445" t="s">
        <v>32</v>
      </c>
      <c r="I38" s="444"/>
      <c r="J38" s="444"/>
      <c r="K38" s="444"/>
      <c r="L38" s="446"/>
    </row>
  </sheetData>
  <mergeCells count="22">
    <mergeCell ref="C35:G36"/>
    <mergeCell ref="H35:L36"/>
    <mergeCell ref="C37:G37"/>
    <mergeCell ref="H37:L37"/>
    <mergeCell ref="C38:G38"/>
    <mergeCell ref="H38:L38"/>
    <mergeCell ref="C31:L31"/>
    <mergeCell ref="C34:G34"/>
    <mergeCell ref="H34:L34"/>
    <mergeCell ref="C11:G12"/>
    <mergeCell ref="D13:E13"/>
    <mergeCell ref="F13:G13"/>
    <mergeCell ref="D14:E14"/>
    <mergeCell ref="C8:G8"/>
    <mergeCell ref="K8:L8"/>
    <mergeCell ref="D15:E15"/>
    <mergeCell ref="F14:G15"/>
    <mergeCell ref="B1:L1"/>
    <mergeCell ref="B2:L2"/>
    <mergeCell ref="B3:L3"/>
    <mergeCell ref="B4:L4"/>
    <mergeCell ref="C6:H6"/>
  </mergeCells>
  <pageMargins left="0.23622047244094491" right="0.23622047244094491" top="1.1417322834645669" bottom="0.74803149606299213" header="0.31496062992125984" footer="0.31496062992125984"/>
  <pageSetup paperSize="9" scale="73" fitToHeight="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B1:L37"/>
  <sheetViews>
    <sheetView view="pageBreakPreview" zoomScaleNormal="100" zoomScaleSheetLayoutView="100" workbookViewId="0">
      <selection activeCell="G15" sqref="G1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270</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320</v>
      </c>
      <c r="D11" s="540"/>
      <c r="E11" s="540"/>
      <c r="F11" s="540"/>
      <c r="G11" s="541"/>
      <c r="H11" s="103"/>
      <c r="I11" s="11"/>
      <c r="J11" s="52"/>
      <c r="L11" s="53"/>
    </row>
    <row r="12" spans="2:12" ht="21.7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1" customHeight="1" x14ac:dyDescent="0.3">
      <c r="B14" s="100"/>
      <c r="C14" s="244">
        <v>1</v>
      </c>
      <c r="D14" s="581" t="s">
        <v>143</v>
      </c>
      <c r="E14" s="582"/>
      <c r="F14" s="612"/>
      <c r="G14" s="584"/>
      <c r="H14" s="154">
        <v>1</v>
      </c>
      <c r="I14" s="293" t="s">
        <v>43</v>
      </c>
      <c r="J14" s="294">
        <v>288</v>
      </c>
      <c r="K14" s="295"/>
      <c r="L14" s="296">
        <f>H14*J14</f>
        <v>288</v>
      </c>
    </row>
    <row r="15" spans="2:12" ht="31.5" customHeight="1" x14ac:dyDescent="0.25">
      <c r="B15" s="100"/>
      <c r="C15" s="147" t="s">
        <v>40</v>
      </c>
      <c r="D15" s="148"/>
      <c r="E15" s="148"/>
      <c r="F15" s="133"/>
      <c r="G15" s="134"/>
      <c r="H15" s="135"/>
      <c r="I15" s="78"/>
      <c r="J15" s="113"/>
      <c r="K15" s="89"/>
      <c r="L15" s="119"/>
    </row>
    <row r="16" spans="2:12" ht="20.25" customHeight="1" x14ac:dyDescent="0.25">
      <c r="B16" s="100"/>
      <c r="C16" s="106" t="s">
        <v>321</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ht="21.75" customHeight="1" x14ac:dyDescent="0.25">
      <c r="B18" s="100"/>
      <c r="C18" s="106"/>
      <c r="D18" s="218"/>
      <c r="E18" s="218"/>
      <c r="F18" s="221"/>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288</v>
      </c>
    </row>
    <row r="30" spans="2:12" ht="24.75" customHeight="1" x14ac:dyDescent="0.25">
      <c r="B30" s="88" t="s">
        <v>4</v>
      </c>
      <c r="C30" s="534" t="s">
        <v>319</v>
      </c>
      <c r="D30" s="535"/>
      <c r="E30" s="535"/>
      <c r="F30" s="535"/>
      <c r="G30" s="535"/>
      <c r="H30" s="535"/>
      <c r="I30" s="535"/>
      <c r="J30" s="535"/>
      <c r="K30" s="535"/>
      <c r="L30" s="536"/>
    </row>
    <row r="31" spans="2:12" x14ac:dyDescent="0.25">
      <c r="B31" s="136"/>
      <c r="C31" s="137"/>
      <c r="D31" s="138"/>
      <c r="E31" s="138"/>
      <c r="F31" s="138"/>
      <c r="G31" s="138"/>
      <c r="H31" s="138"/>
      <c r="I31" s="138"/>
      <c r="J31" s="138"/>
      <c r="K31" s="138"/>
      <c r="L31" s="141"/>
    </row>
    <row r="32" spans="2:12" x14ac:dyDescent="0.25">
      <c r="B32" s="136"/>
      <c r="C32" s="139"/>
      <c r="D32" s="140"/>
      <c r="E32" s="140"/>
      <c r="F32" s="140"/>
      <c r="G32" s="140"/>
      <c r="H32" s="117"/>
      <c r="I32" s="117"/>
      <c r="J32" s="117"/>
      <c r="K32" s="117"/>
      <c r="L32" s="118"/>
    </row>
    <row r="33" spans="2:12" x14ac:dyDescent="0.25">
      <c r="B33" s="73"/>
      <c r="C33" s="445"/>
      <c r="D33" s="444"/>
      <c r="E33" s="444"/>
      <c r="F33" s="444"/>
      <c r="G33" s="444"/>
      <c r="H33" s="441" t="s">
        <v>3</v>
      </c>
      <c r="I33" s="442"/>
      <c r="J33" s="442"/>
      <c r="K33" s="442"/>
      <c r="L33" s="443"/>
    </row>
    <row r="34" spans="2:12" x14ac:dyDescent="0.25">
      <c r="B34" s="25"/>
      <c r="C34" s="450"/>
      <c r="D34" s="480"/>
      <c r="E34" s="480"/>
      <c r="F34" s="480"/>
      <c r="G34" s="451"/>
      <c r="H34" s="454"/>
      <c r="I34" s="455"/>
      <c r="J34" s="455"/>
      <c r="K34" s="455"/>
      <c r="L34" s="456"/>
    </row>
    <row r="35" spans="2:12" x14ac:dyDescent="0.25">
      <c r="B35" s="78" t="s">
        <v>2</v>
      </c>
      <c r="C35" s="452"/>
      <c r="D35" s="481"/>
      <c r="E35" s="481"/>
      <c r="F35" s="481"/>
      <c r="G35" s="453"/>
      <c r="H35" s="457"/>
      <c r="I35" s="458"/>
      <c r="J35" s="458"/>
      <c r="K35" s="458"/>
      <c r="L35" s="459"/>
    </row>
    <row r="36" spans="2:12" x14ac:dyDescent="0.25">
      <c r="B36" s="78" t="s">
        <v>1</v>
      </c>
      <c r="C36" s="440" t="s">
        <v>216</v>
      </c>
      <c r="D36" s="440"/>
      <c r="E36" s="440"/>
      <c r="F36" s="440"/>
      <c r="G36" s="440"/>
      <c r="H36" s="441" t="s">
        <v>318</v>
      </c>
      <c r="I36" s="442"/>
      <c r="J36" s="442"/>
      <c r="K36" s="442"/>
      <c r="L36" s="443"/>
    </row>
    <row r="37" spans="2:12" x14ac:dyDescent="0.25">
      <c r="B37" s="83" t="s">
        <v>0</v>
      </c>
      <c r="C37" s="444" t="s">
        <v>271</v>
      </c>
      <c r="D37" s="444"/>
      <c r="E37" s="444"/>
      <c r="F37" s="444"/>
      <c r="G37" s="444"/>
      <c r="H37" s="445" t="s">
        <v>32</v>
      </c>
      <c r="I37" s="444"/>
      <c r="J37" s="444"/>
      <c r="K37" s="444"/>
      <c r="L37" s="446"/>
    </row>
  </sheetData>
  <mergeCells count="21">
    <mergeCell ref="C8:G8"/>
    <mergeCell ref="K8:L8"/>
    <mergeCell ref="B1:L1"/>
    <mergeCell ref="B2:L2"/>
    <mergeCell ref="B3:L3"/>
    <mergeCell ref="B4:L4"/>
    <mergeCell ref="C6:H6"/>
    <mergeCell ref="C11:G12"/>
    <mergeCell ref="D13:E13"/>
    <mergeCell ref="F13:G13"/>
    <mergeCell ref="D14:E14"/>
    <mergeCell ref="F14:G14"/>
    <mergeCell ref="C37:G37"/>
    <mergeCell ref="H37:L37"/>
    <mergeCell ref="C30:L30"/>
    <mergeCell ref="C33:G33"/>
    <mergeCell ref="H33:L33"/>
    <mergeCell ref="C34:G35"/>
    <mergeCell ref="H34:L35"/>
    <mergeCell ref="C36:G36"/>
    <mergeCell ref="H36:L36"/>
  </mergeCells>
  <pageMargins left="0.23622047244094491" right="0.23622047244094491" top="1.1417322834645669" bottom="0.74803149606299213" header="0.31496062992125984" footer="0.31496062992125984"/>
  <pageSetup paperSize="9" scale="73" fitToHeight="0"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B1:L36"/>
  <sheetViews>
    <sheetView view="pageBreakPreview" topLeftCell="A17" zoomScaleNormal="100" zoomScaleSheetLayoutView="100" workbookViewId="0">
      <selection activeCell="C33" sqref="C33:G3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125</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219</v>
      </c>
      <c r="J5" s="39"/>
      <c r="K5" s="27"/>
      <c r="L5" s="40" t="s">
        <v>220</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142" t="s">
        <v>29</v>
      </c>
      <c r="C8" s="428" t="s">
        <v>19</v>
      </c>
      <c r="D8" s="462"/>
      <c r="E8" s="462"/>
      <c r="F8" s="462"/>
      <c r="G8" s="429"/>
      <c r="H8" s="143" t="s">
        <v>21</v>
      </c>
      <c r="I8" s="33" t="s">
        <v>20</v>
      </c>
      <c r="J8" s="47" t="s">
        <v>18</v>
      </c>
      <c r="K8" s="430" t="s">
        <v>17</v>
      </c>
      <c r="L8" s="431"/>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539" t="s">
        <v>221</v>
      </c>
      <c r="D11" s="540"/>
      <c r="E11" s="540"/>
      <c r="F11" s="540"/>
      <c r="G11" s="541"/>
      <c r="H11" s="103"/>
      <c r="I11" s="11"/>
      <c r="J11" s="52"/>
      <c r="L11" s="53"/>
    </row>
    <row r="12" spans="2:12" ht="13.5" customHeight="1" x14ac:dyDescent="0.25">
      <c r="B12" s="100"/>
      <c r="C12" s="542"/>
      <c r="D12" s="543"/>
      <c r="E12" s="543"/>
      <c r="F12" s="543"/>
      <c r="G12" s="544"/>
      <c r="H12" s="103"/>
      <c r="I12" s="11"/>
      <c r="J12" s="52"/>
      <c r="L12" s="53"/>
    </row>
    <row r="13" spans="2:12" ht="21" customHeight="1" x14ac:dyDescent="0.25">
      <c r="B13" s="100"/>
      <c r="C13" s="60" t="s">
        <v>21</v>
      </c>
      <c r="D13" s="469" t="s">
        <v>41</v>
      </c>
      <c r="E13" s="469"/>
      <c r="F13" s="469" t="s">
        <v>42</v>
      </c>
      <c r="G13" s="469"/>
      <c r="H13" s="129"/>
      <c r="I13" s="11"/>
      <c r="J13" s="52"/>
      <c r="K13" s="59"/>
      <c r="L13" s="53"/>
    </row>
    <row r="14" spans="2:12" ht="23.25" customHeight="1" x14ac:dyDescent="0.25">
      <c r="B14" s="100"/>
      <c r="C14" s="244">
        <v>80</v>
      </c>
      <c r="D14" s="581" t="s">
        <v>127</v>
      </c>
      <c r="E14" s="582"/>
      <c r="F14" s="616" t="s">
        <v>222</v>
      </c>
      <c r="G14" s="617"/>
      <c r="H14" s="154">
        <v>80</v>
      </c>
      <c r="I14" s="245" t="s">
        <v>53</v>
      </c>
      <c r="J14" s="247">
        <v>150</v>
      </c>
      <c r="K14" s="246"/>
      <c r="L14" s="248">
        <f>H14*J14</f>
        <v>12000</v>
      </c>
    </row>
    <row r="15" spans="2:12" ht="31.5" customHeight="1" x14ac:dyDescent="0.25">
      <c r="B15" s="100"/>
      <c r="C15" s="147" t="s">
        <v>40</v>
      </c>
      <c r="D15" s="148"/>
      <c r="E15" s="148"/>
      <c r="F15" s="133"/>
      <c r="G15" s="134"/>
      <c r="H15" s="135"/>
      <c r="I15" s="78"/>
      <c r="J15" s="113"/>
      <c r="K15" s="89"/>
      <c r="L15" s="119"/>
    </row>
    <row r="16" spans="2:12" ht="18" customHeight="1" x14ac:dyDescent="0.25">
      <c r="B16" s="100"/>
      <c r="C16" s="58" t="s">
        <v>126</v>
      </c>
      <c r="D16" s="218"/>
      <c r="E16" s="218"/>
      <c r="F16" s="221"/>
      <c r="G16" s="135"/>
      <c r="H16" s="135"/>
      <c r="I16" s="78"/>
      <c r="J16" s="113"/>
      <c r="K16" s="89"/>
      <c r="L16" s="119"/>
    </row>
    <row r="17" spans="2:12" ht="21.75" customHeight="1" x14ac:dyDescent="0.25">
      <c r="B17" s="100"/>
      <c r="C17" s="106"/>
      <c r="D17" s="218"/>
      <c r="E17" s="218"/>
      <c r="F17" s="221"/>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534" t="s">
        <v>221</v>
      </c>
      <c r="D29" s="535"/>
      <c r="E29" s="535"/>
      <c r="F29" s="535"/>
      <c r="G29" s="535"/>
      <c r="H29" s="535"/>
      <c r="I29" s="535"/>
      <c r="J29" s="535"/>
      <c r="K29" s="535"/>
      <c r="L29" s="536"/>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45"/>
      <c r="D32" s="444"/>
      <c r="E32" s="444"/>
      <c r="F32" s="444"/>
      <c r="G32" s="444"/>
      <c r="H32" s="441" t="s">
        <v>3</v>
      </c>
      <c r="I32" s="442"/>
      <c r="J32" s="442"/>
      <c r="K32" s="442"/>
      <c r="L32" s="443"/>
    </row>
    <row r="33" spans="2:12" x14ac:dyDescent="0.25">
      <c r="B33" s="25"/>
      <c r="C33" s="450"/>
      <c r="D33" s="480"/>
      <c r="E33" s="480"/>
      <c r="F33" s="480"/>
      <c r="G33" s="451"/>
      <c r="H33" s="454"/>
      <c r="I33" s="455"/>
      <c r="J33" s="455"/>
      <c r="K33" s="455"/>
      <c r="L33" s="456"/>
    </row>
    <row r="34" spans="2:12" x14ac:dyDescent="0.25">
      <c r="B34" s="78" t="s">
        <v>2</v>
      </c>
      <c r="C34" s="452"/>
      <c r="D34" s="481"/>
      <c r="E34" s="481"/>
      <c r="F34" s="481"/>
      <c r="G34" s="453"/>
      <c r="H34" s="457"/>
      <c r="I34" s="458"/>
      <c r="J34" s="458"/>
      <c r="K34" s="458"/>
      <c r="L34" s="459"/>
    </row>
    <row r="35" spans="2:12" x14ac:dyDescent="0.25">
      <c r="B35" s="78" t="s">
        <v>1</v>
      </c>
      <c r="C35" s="440" t="s">
        <v>216</v>
      </c>
      <c r="D35" s="440"/>
      <c r="E35" s="440"/>
      <c r="F35" s="440"/>
      <c r="G35" s="440"/>
      <c r="H35" s="441" t="s">
        <v>31</v>
      </c>
      <c r="I35" s="442"/>
      <c r="J35" s="442"/>
      <c r="K35" s="442"/>
      <c r="L35" s="443"/>
    </row>
    <row r="36" spans="2:12" x14ac:dyDescent="0.25">
      <c r="B36" s="83" t="s">
        <v>0</v>
      </c>
      <c r="C36" s="444" t="s">
        <v>217</v>
      </c>
      <c r="D36" s="444"/>
      <c r="E36" s="444"/>
      <c r="F36" s="444"/>
      <c r="G36" s="444"/>
      <c r="H36" s="445" t="s">
        <v>32</v>
      </c>
      <c r="I36" s="444"/>
      <c r="J36" s="444"/>
      <c r="K36" s="444"/>
      <c r="L36" s="446"/>
    </row>
  </sheetData>
  <mergeCells count="21">
    <mergeCell ref="C36:G36"/>
    <mergeCell ref="H36:L36"/>
    <mergeCell ref="C32:G32"/>
    <mergeCell ref="H32:L32"/>
    <mergeCell ref="C33:G34"/>
    <mergeCell ref="H33:L34"/>
    <mergeCell ref="C35:G35"/>
    <mergeCell ref="H35:L35"/>
    <mergeCell ref="C29:L29"/>
    <mergeCell ref="C11:G12"/>
    <mergeCell ref="D13:E13"/>
    <mergeCell ref="F13:G13"/>
    <mergeCell ref="F14:G14"/>
    <mergeCell ref="D14:E14"/>
    <mergeCell ref="C8:G8"/>
    <mergeCell ref="K8:L8"/>
    <mergeCell ref="B1:L1"/>
    <mergeCell ref="B2:L2"/>
    <mergeCell ref="B3:L3"/>
    <mergeCell ref="B4:L4"/>
    <mergeCell ref="C6:H6"/>
  </mergeCells>
  <pageMargins left="0.23622047244094491" right="0.23622047244094491" top="1.1417322834645669" bottom="0.74803149606299213" header="0.31496062992125984" footer="0.31496062992125984"/>
  <pageSetup paperSize="9" scale="73" fitToHeight="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B1:L34"/>
  <sheetViews>
    <sheetView view="pageBreakPreview" zoomScale="85" zoomScaleNormal="100" zoomScaleSheetLayoutView="85" workbookViewId="0">
      <selection activeCell="G14" sqref="G1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5" customHeight="1" x14ac:dyDescent="0.4">
      <c r="B3" s="424" t="s">
        <v>228</v>
      </c>
      <c r="C3" s="425"/>
      <c r="D3" s="425"/>
      <c r="E3" s="425"/>
      <c r="F3" s="425"/>
      <c r="G3" s="425"/>
      <c r="H3" s="425"/>
      <c r="I3" s="425"/>
      <c r="J3" s="425"/>
      <c r="K3" s="425"/>
      <c r="L3" s="425"/>
    </row>
    <row r="4" spans="2:12" x14ac:dyDescent="0.25">
      <c r="B4" s="31"/>
      <c r="C4" s="30"/>
      <c r="D4" s="38"/>
      <c r="E4" s="38"/>
      <c r="F4" s="38"/>
      <c r="G4" s="38"/>
      <c r="H4" s="38"/>
      <c r="I4" s="29" t="s">
        <v>325</v>
      </c>
      <c r="J4" s="39"/>
      <c r="K4" s="27"/>
      <c r="L4" s="40" t="s">
        <v>332</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42" t="s">
        <v>29</v>
      </c>
      <c r="C7" s="428" t="s">
        <v>19</v>
      </c>
      <c r="D7" s="462"/>
      <c r="E7" s="462"/>
      <c r="F7" s="462"/>
      <c r="G7" s="429"/>
      <c r="H7" s="143" t="s">
        <v>21</v>
      </c>
      <c r="I7" s="33" t="s">
        <v>20</v>
      </c>
      <c r="J7" s="47" t="s">
        <v>18</v>
      </c>
      <c r="K7" s="430" t="s">
        <v>17</v>
      </c>
      <c r="L7" s="431"/>
    </row>
    <row r="8" spans="2:12" x14ac:dyDescent="0.25">
      <c r="B8" s="31"/>
      <c r="C8" s="48"/>
      <c r="D8" s="49"/>
      <c r="E8" s="49"/>
      <c r="F8" s="49"/>
      <c r="G8" s="130"/>
      <c r="H8" s="130"/>
      <c r="I8" s="12"/>
      <c r="J8" s="50"/>
      <c r="K8" s="27"/>
      <c r="L8" s="51"/>
    </row>
    <row r="9" spans="2:12" x14ac:dyDescent="0.25">
      <c r="B9" s="100"/>
      <c r="C9" s="106"/>
      <c r="D9" s="102"/>
      <c r="E9" s="102"/>
      <c r="F9" s="102"/>
      <c r="G9" s="103"/>
      <c r="H9" s="103"/>
      <c r="I9" s="11"/>
      <c r="J9" s="52"/>
      <c r="L9" s="53"/>
    </row>
    <row r="10" spans="2:12" ht="15.75" customHeight="1" x14ac:dyDescent="0.25">
      <c r="B10" s="100"/>
      <c r="C10" s="539" t="s">
        <v>333</v>
      </c>
      <c r="D10" s="540"/>
      <c r="E10" s="540"/>
      <c r="F10" s="540"/>
      <c r="G10" s="541"/>
      <c r="H10" s="103"/>
      <c r="I10" s="11"/>
      <c r="J10" s="52"/>
      <c r="L10" s="53"/>
    </row>
    <row r="11" spans="2:12" ht="40.5" customHeight="1" x14ac:dyDescent="0.25">
      <c r="B11" s="100"/>
      <c r="C11" s="542"/>
      <c r="D11" s="543"/>
      <c r="E11" s="543"/>
      <c r="F11" s="543"/>
      <c r="G11" s="544"/>
      <c r="H11" s="103"/>
      <c r="I11" s="11"/>
      <c r="J11" s="52"/>
      <c r="L11" s="53"/>
    </row>
    <row r="12" spans="2:12" ht="21" customHeight="1" x14ac:dyDescent="0.25">
      <c r="B12" s="100"/>
      <c r="C12" s="60" t="s">
        <v>21</v>
      </c>
      <c r="D12" s="469" t="s">
        <v>41</v>
      </c>
      <c r="E12" s="469"/>
      <c r="F12" s="469" t="s">
        <v>42</v>
      </c>
      <c r="G12" s="469"/>
      <c r="H12" s="129"/>
      <c r="I12" s="11"/>
      <c r="J12" s="52"/>
      <c r="K12" s="59"/>
      <c r="L12" s="53"/>
    </row>
    <row r="13" spans="2:12" ht="28.5" customHeight="1" x14ac:dyDescent="0.25">
      <c r="B13" s="100"/>
      <c r="C13" s="70">
        <v>50</v>
      </c>
      <c r="D13" s="470" t="s">
        <v>223</v>
      </c>
      <c r="E13" s="471"/>
      <c r="F13" s="537" t="s">
        <v>334</v>
      </c>
      <c r="G13" s="538"/>
      <c r="H13" s="129">
        <v>50</v>
      </c>
      <c r="I13" s="11" t="s">
        <v>224</v>
      </c>
      <c r="J13" s="113">
        <v>2</v>
      </c>
      <c r="K13" s="59"/>
      <c r="L13" s="119">
        <f>H13*J13*80</f>
        <v>8000</v>
      </c>
    </row>
    <row r="14" spans="2:12" ht="31.5" customHeight="1" x14ac:dyDescent="0.25">
      <c r="B14" s="100"/>
      <c r="C14" s="147" t="s">
        <v>40</v>
      </c>
      <c r="D14" s="148"/>
      <c r="E14" s="148"/>
      <c r="F14" s="133"/>
      <c r="G14" s="134"/>
      <c r="H14" s="135"/>
      <c r="I14" s="78"/>
      <c r="J14" s="113"/>
      <c r="K14" s="89"/>
      <c r="L14" s="119"/>
    </row>
    <row r="15" spans="2:12" ht="21.75" customHeight="1" x14ac:dyDescent="0.25">
      <c r="B15" s="100"/>
      <c r="C15" s="106" t="s">
        <v>225</v>
      </c>
      <c r="D15" s="218"/>
      <c r="E15" s="218"/>
      <c r="F15" s="221"/>
      <c r="G15" s="135"/>
      <c r="H15" s="135"/>
      <c r="I15" s="78"/>
      <c r="J15" s="113"/>
      <c r="K15" s="89"/>
      <c r="L15" s="119"/>
    </row>
    <row r="16" spans="2:12" ht="20.25" customHeight="1" x14ac:dyDescent="0.25">
      <c r="B16" s="100"/>
      <c r="C16" s="149" t="s">
        <v>226</v>
      </c>
      <c r="D16" s="144"/>
      <c r="E16" s="144"/>
      <c r="F16" s="145"/>
      <c r="G16" s="146"/>
      <c r="H16" s="135"/>
      <c r="I16" s="78"/>
      <c r="J16" s="113"/>
      <c r="K16" s="89"/>
      <c r="L16" s="119"/>
    </row>
    <row r="17" spans="2:12" x14ac:dyDescent="0.25">
      <c r="B17" s="100"/>
      <c r="C17" s="106"/>
      <c r="D17" s="107"/>
      <c r="E17" s="107"/>
      <c r="F17" s="108"/>
      <c r="G17" s="112"/>
      <c r="H17" s="61"/>
      <c r="I17" s="62"/>
      <c r="J17" s="63"/>
      <c r="K17" s="59"/>
      <c r="L17" s="53"/>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56" t="s">
        <v>8</v>
      </c>
      <c r="D25" s="104"/>
      <c r="E25" s="104"/>
      <c r="F25" s="104"/>
      <c r="G25" s="105"/>
      <c r="H25" s="57"/>
      <c r="I25" s="11"/>
      <c r="J25" s="113"/>
      <c r="K25" s="24"/>
      <c r="L25" s="53"/>
    </row>
    <row r="26" spans="2:12" x14ac:dyDescent="0.25">
      <c r="B26" s="100"/>
      <c r="C26" s="54" t="s">
        <v>7</v>
      </c>
      <c r="D26" s="102"/>
      <c r="E26" s="102"/>
      <c r="F26" s="102"/>
      <c r="G26" s="103"/>
      <c r="H26" s="55"/>
      <c r="I26" s="11"/>
      <c r="J26" s="113"/>
      <c r="K26" s="24"/>
      <c r="L26" s="53"/>
    </row>
    <row r="27" spans="2:12" x14ac:dyDescent="0.25">
      <c r="B27" s="101"/>
      <c r="C27" s="66"/>
      <c r="D27" s="67"/>
      <c r="E27" s="67"/>
      <c r="F27" s="67"/>
      <c r="G27" s="111"/>
      <c r="H27" s="68"/>
      <c r="I27" s="10"/>
      <c r="J27" s="114" t="s">
        <v>6</v>
      </c>
      <c r="K27" s="72" t="s">
        <v>5</v>
      </c>
      <c r="L27" s="69">
        <f>SUM(L8:L26)</f>
        <v>8000</v>
      </c>
    </row>
    <row r="28" spans="2:12" ht="33" customHeight="1" x14ac:dyDescent="0.25">
      <c r="B28" s="88" t="s">
        <v>4</v>
      </c>
      <c r="C28" s="534" t="s">
        <v>335</v>
      </c>
      <c r="D28" s="535"/>
      <c r="E28" s="535"/>
      <c r="F28" s="535"/>
      <c r="G28" s="535"/>
      <c r="H28" s="535"/>
      <c r="I28" s="535"/>
      <c r="J28" s="535"/>
      <c r="K28" s="535"/>
      <c r="L28" s="536"/>
    </row>
    <row r="29" spans="2:12" x14ac:dyDescent="0.25">
      <c r="B29" s="136"/>
      <c r="C29" s="137"/>
      <c r="D29" s="138"/>
      <c r="E29" s="138"/>
      <c r="F29" s="138"/>
      <c r="G29" s="138"/>
      <c r="H29" s="138"/>
      <c r="I29" s="138"/>
      <c r="J29" s="138"/>
      <c r="K29" s="138"/>
      <c r="L29" s="141"/>
    </row>
    <row r="30" spans="2:12" x14ac:dyDescent="0.25">
      <c r="B30" s="73"/>
      <c r="C30" s="445"/>
      <c r="D30" s="444"/>
      <c r="E30" s="444"/>
      <c r="F30" s="444"/>
      <c r="G30" s="444"/>
      <c r="H30" s="441" t="s">
        <v>3</v>
      </c>
      <c r="I30" s="442"/>
      <c r="J30" s="442"/>
      <c r="K30" s="442"/>
      <c r="L30" s="443"/>
    </row>
    <row r="31" spans="2:12" x14ac:dyDescent="0.25">
      <c r="B31" s="25"/>
      <c r="C31" s="450"/>
      <c r="D31" s="480"/>
      <c r="E31" s="480"/>
      <c r="F31" s="480"/>
      <c r="G31" s="451"/>
      <c r="H31" s="454"/>
      <c r="I31" s="455"/>
      <c r="J31" s="455"/>
      <c r="K31" s="455"/>
      <c r="L31" s="456"/>
    </row>
    <row r="32" spans="2:12" x14ac:dyDescent="0.25">
      <c r="B32" s="78" t="s">
        <v>2</v>
      </c>
      <c r="C32" s="452"/>
      <c r="D32" s="481"/>
      <c r="E32" s="481"/>
      <c r="F32" s="481"/>
      <c r="G32" s="453"/>
      <c r="H32" s="457"/>
      <c r="I32" s="458"/>
      <c r="J32" s="458"/>
      <c r="K32" s="458"/>
      <c r="L32" s="459"/>
    </row>
    <row r="33" spans="2:12" ht="15.75" customHeight="1" x14ac:dyDescent="0.25">
      <c r="B33" s="78" t="s">
        <v>1</v>
      </c>
      <c r="C33" s="440" t="s">
        <v>216</v>
      </c>
      <c r="D33" s="440"/>
      <c r="E33" s="440"/>
      <c r="F33" s="440"/>
      <c r="G33" s="440"/>
      <c r="H33" s="441" t="s">
        <v>318</v>
      </c>
      <c r="I33" s="442"/>
      <c r="J33" s="442"/>
      <c r="K33" s="442"/>
      <c r="L33" s="443"/>
    </row>
    <row r="34" spans="2:12" x14ac:dyDescent="0.25">
      <c r="B34" s="83" t="s">
        <v>0</v>
      </c>
      <c r="C34" s="444" t="s">
        <v>227</v>
      </c>
      <c r="D34" s="444"/>
      <c r="E34" s="444"/>
      <c r="F34" s="444"/>
      <c r="G34" s="444"/>
      <c r="H34" s="445" t="s">
        <v>32</v>
      </c>
      <c r="I34" s="444"/>
      <c r="J34" s="444"/>
      <c r="K34" s="444"/>
      <c r="L34" s="446"/>
    </row>
  </sheetData>
  <mergeCells count="20">
    <mergeCell ref="C34:G34"/>
    <mergeCell ref="H34:L34"/>
    <mergeCell ref="C28:L28"/>
    <mergeCell ref="C30:G30"/>
    <mergeCell ref="H30:L30"/>
    <mergeCell ref="C31:G32"/>
    <mergeCell ref="H31:L32"/>
    <mergeCell ref="C33:G33"/>
    <mergeCell ref="H33:L33"/>
    <mergeCell ref="C10:G11"/>
    <mergeCell ref="D12:E12"/>
    <mergeCell ref="F12:G12"/>
    <mergeCell ref="D13:E13"/>
    <mergeCell ref="F13:G13"/>
    <mergeCell ref="C7:G7"/>
    <mergeCell ref="K7:L7"/>
    <mergeCell ref="B1:L1"/>
    <mergeCell ref="B2:L2"/>
    <mergeCell ref="B3:L3"/>
    <mergeCell ref="C5:H5"/>
  </mergeCells>
  <pageMargins left="0.23622047244094491" right="0.23622047244094491" top="1.1417322834645669" bottom="0.74803149606299213" header="0.31496062992125984" footer="0.31496062992125984"/>
  <pageSetup paperSize="9" scale="73" fitToHeight="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B1:L37"/>
  <sheetViews>
    <sheetView view="pageBreakPreview" topLeftCell="A2" zoomScaleNormal="100" zoomScaleSheetLayoutView="100" workbookViewId="0">
      <selection activeCell="E30" sqref="E30"/>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105</v>
      </c>
      <c r="J4" s="39"/>
      <c r="K4" s="27"/>
      <c r="L4" s="40" t="s">
        <v>106</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539" t="s">
        <v>108</v>
      </c>
      <c r="D8" s="540"/>
      <c r="E8" s="540"/>
      <c r="F8" s="540"/>
      <c r="G8" s="541"/>
      <c r="H8" s="103"/>
      <c r="I8" s="11"/>
      <c r="J8" s="52"/>
      <c r="L8" s="53"/>
    </row>
    <row r="9" spans="2:12" ht="19.5" customHeight="1" x14ac:dyDescent="0.25">
      <c r="B9" s="100"/>
      <c r="C9" s="632"/>
      <c r="D9" s="633"/>
      <c r="E9" s="633"/>
      <c r="F9" s="633"/>
      <c r="G9" s="634"/>
      <c r="H9" s="103"/>
      <c r="I9" s="11"/>
      <c r="J9" s="52"/>
      <c r="L9" s="53"/>
    </row>
    <row r="10" spans="2:12" ht="15.75" customHeight="1" x14ac:dyDescent="0.25">
      <c r="B10" s="100"/>
      <c r="C10" s="60" t="s">
        <v>21</v>
      </c>
      <c r="D10" s="469" t="s">
        <v>41</v>
      </c>
      <c r="E10" s="469"/>
      <c r="F10" s="469" t="s">
        <v>42</v>
      </c>
      <c r="G10" s="469"/>
      <c r="H10" s="225"/>
      <c r="I10" s="227"/>
      <c r="J10" s="228"/>
      <c r="K10" s="229"/>
      <c r="L10" s="230"/>
    </row>
    <row r="11" spans="2:12" ht="25.5" customHeight="1" x14ac:dyDescent="0.25">
      <c r="B11" s="100"/>
      <c r="C11" s="60">
        <v>10</v>
      </c>
      <c r="D11" s="635" t="s">
        <v>109</v>
      </c>
      <c r="E11" s="636"/>
      <c r="F11" s="699" t="s">
        <v>111</v>
      </c>
      <c r="G11" s="700"/>
      <c r="H11" s="60">
        <v>10</v>
      </c>
      <c r="I11" s="227" t="s">
        <v>107</v>
      </c>
      <c r="J11" s="228">
        <v>50</v>
      </c>
      <c r="K11" s="229"/>
      <c r="L11" s="234">
        <f>H11*J11</f>
        <v>500</v>
      </c>
    </row>
    <row r="12" spans="2:12" ht="25.5" customHeight="1" x14ac:dyDescent="0.25">
      <c r="B12" s="100"/>
      <c r="C12" s="64"/>
      <c r="D12" s="235"/>
      <c r="E12" s="235"/>
      <c r="F12" s="242"/>
      <c r="G12" s="153"/>
      <c r="H12" s="243"/>
      <c r="J12" s="169"/>
      <c r="K12" s="59"/>
      <c r="L12" s="158"/>
    </row>
    <row r="13" spans="2:12" ht="30.75" customHeight="1" x14ac:dyDescent="0.25">
      <c r="B13" s="100"/>
      <c r="C13" s="64"/>
      <c r="D13" s="222"/>
      <c r="E13" s="222"/>
      <c r="F13" s="223"/>
      <c r="G13" s="153"/>
      <c r="H13" s="107"/>
      <c r="J13" s="169"/>
      <c r="K13" s="59"/>
      <c r="L13" s="158"/>
    </row>
    <row r="14" spans="2:12" ht="33" customHeight="1" x14ac:dyDescent="0.25">
      <c r="B14" s="100"/>
      <c r="C14" s="428" t="s">
        <v>19</v>
      </c>
      <c r="D14" s="462"/>
      <c r="E14" s="462"/>
      <c r="F14" s="462"/>
      <c r="G14" s="429"/>
      <c r="H14" s="143" t="s">
        <v>21</v>
      </c>
      <c r="I14" s="33" t="s">
        <v>20</v>
      </c>
      <c r="J14" s="47" t="s">
        <v>18</v>
      </c>
      <c r="K14" s="430" t="s">
        <v>17</v>
      </c>
      <c r="L14" s="431"/>
    </row>
    <row r="15" spans="2:12" ht="15.75" customHeight="1" x14ac:dyDescent="0.25">
      <c r="B15" s="100"/>
      <c r="C15" s="539" t="s">
        <v>119</v>
      </c>
      <c r="D15" s="540"/>
      <c r="E15" s="540"/>
      <c r="F15" s="540"/>
      <c r="G15" s="541"/>
      <c r="H15" s="103"/>
      <c r="I15" s="11"/>
      <c r="J15" s="52"/>
      <c r="L15" s="53"/>
    </row>
    <row r="16" spans="2:12" ht="9.75" customHeight="1" x14ac:dyDescent="0.25">
      <c r="B16" s="100"/>
      <c r="C16" s="632"/>
      <c r="D16" s="633"/>
      <c r="E16" s="633"/>
      <c r="F16" s="633"/>
      <c r="G16" s="634"/>
      <c r="H16" s="107"/>
      <c r="J16" s="169"/>
      <c r="K16" s="59"/>
      <c r="L16" s="158"/>
    </row>
    <row r="17" spans="2:12" ht="20.25" customHeight="1" x14ac:dyDescent="0.25">
      <c r="B17" s="100"/>
      <c r="C17" s="60" t="s">
        <v>21</v>
      </c>
      <c r="D17" s="469" t="s">
        <v>41</v>
      </c>
      <c r="E17" s="469"/>
      <c r="F17" s="469" t="s">
        <v>42</v>
      </c>
      <c r="G17" s="469"/>
      <c r="H17" s="231"/>
      <c r="I17" s="232"/>
      <c r="J17" s="233"/>
      <c r="K17" s="229"/>
      <c r="L17" s="234"/>
    </row>
    <row r="18" spans="2:12" ht="21.75" customHeight="1" x14ac:dyDescent="0.25">
      <c r="B18" s="100"/>
      <c r="C18" s="60">
        <v>1</v>
      </c>
      <c r="D18" s="635" t="s">
        <v>115</v>
      </c>
      <c r="E18" s="636"/>
      <c r="F18" s="637" t="s">
        <v>112</v>
      </c>
      <c r="G18" s="698"/>
      <c r="H18" s="60">
        <v>1</v>
      </c>
      <c r="I18" s="227" t="s">
        <v>116</v>
      </c>
      <c r="J18" s="241">
        <v>1200</v>
      </c>
      <c r="K18" s="229"/>
      <c r="L18" s="234">
        <f>H18*J18</f>
        <v>1200</v>
      </c>
    </row>
    <row r="19" spans="2:12" ht="20.25" customHeight="1" x14ac:dyDescent="0.25">
      <c r="B19" s="100"/>
      <c r="C19" s="239"/>
      <c r="D19" s="240"/>
      <c r="E19" s="240"/>
      <c r="F19" s="223"/>
      <c r="G19" s="153"/>
      <c r="H19" s="61"/>
      <c r="I19" s="11"/>
      <c r="J19" s="173"/>
      <c r="K19" s="59"/>
      <c r="L19" s="158"/>
    </row>
    <row r="20" spans="2:12" x14ac:dyDescent="0.25">
      <c r="B20" s="100"/>
      <c r="C20" s="96" t="s">
        <v>33</v>
      </c>
      <c r="D20" s="107"/>
      <c r="E20" s="107"/>
      <c r="F20" s="108"/>
      <c r="G20" s="108"/>
      <c r="H20" s="61"/>
      <c r="I20" s="62"/>
      <c r="J20" s="237"/>
      <c r="K20" s="59"/>
      <c r="L20" s="53"/>
    </row>
    <row r="21" spans="2:12" x14ac:dyDescent="0.25">
      <c r="B21" s="100"/>
      <c r="C21" s="95" t="s">
        <v>34</v>
      </c>
      <c r="D21" s="107"/>
      <c r="E21" s="107"/>
      <c r="F21" s="108"/>
      <c r="G21" s="108"/>
      <c r="H21" s="61"/>
      <c r="I21" s="62"/>
      <c r="J21" s="237"/>
      <c r="K21" s="59"/>
      <c r="L21" s="53"/>
    </row>
    <row r="22" spans="2:12" x14ac:dyDescent="0.25">
      <c r="B22" s="100"/>
      <c r="C22" s="95" t="s">
        <v>35</v>
      </c>
      <c r="D22" s="107"/>
      <c r="E22" s="107"/>
      <c r="F22" s="108"/>
      <c r="G22" s="108"/>
      <c r="H22" s="61"/>
      <c r="I22" s="62"/>
      <c r="J22" s="237"/>
      <c r="K22" s="59"/>
      <c r="L22" s="53"/>
    </row>
    <row r="23" spans="2:12" x14ac:dyDescent="0.25">
      <c r="B23" s="100"/>
      <c r="C23" s="95"/>
      <c r="D23" s="107"/>
      <c r="E23" s="107"/>
      <c r="F23" s="108"/>
      <c r="G23" s="108"/>
      <c r="H23" s="61"/>
      <c r="I23" s="62"/>
      <c r="J23" s="237"/>
      <c r="K23" s="59"/>
      <c r="L23" s="53"/>
    </row>
    <row r="24" spans="2:12" x14ac:dyDescent="0.25">
      <c r="B24" s="100"/>
      <c r="C24" s="96" t="s">
        <v>36</v>
      </c>
      <c r="D24" s="107"/>
      <c r="E24" s="107"/>
      <c r="F24" s="108"/>
      <c r="G24" s="108"/>
      <c r="H24" s="61"/>
      <c r="I24" s="62"/>
      <c r="J24" s="237"/>
      <c r="K24" s="59"/>
      <c r="L24" s="53"/>
    </row>
    <row r="25" spans="2:12" x14ac:dyDescent="0.25">
      <c r="B25" s="100"/>
      <c r="C25" s="95" t="s">
        <v>37</v>
      </c>
      <c r="D25" s="109"/>
      <c r="E25" s="109"/>
      <c r="F25" s="109"/>
      <c r="G25" s="109"/>
      <c r="H25" s="65"/>
      <c r="I25" s="11"/>
      <c r="J25" s="173"/>
      <c r="L25" s="53"/>
    </row>
    <row r="26" spans="2:12" x14ac:dyDescent="0.25">
      <c r="B26" s="100"/>
      <c r="C26" s="95" t="s">
        <v>84</v>
      </c>
      <c r="D26" s="109"/>
      <c r="E26" s="109"/>
      <c r="F26" s="109"/>
      <c r="G26" s="109"/>
      <c r="H26" s="65"/>
      <c r="I26" s="11"/>
      <c r="J26" s="173"/>
      <c r="L26" s="53"/>
    </row>
    <row r="27" spans="2:12" x14ac:dyDescent="0.25">
      <c r="B27" s="100"/>
      <c r="C27" s="95"/>
      <c r="D27" s="109"/>
      <c r="E27" s="109"/>
      <c r="F27" s="109"/>
      <c r="G27" s="109"/>
      <c r="H27" s="65"/>
      <c r="I27" s="11"/>
      <c r="J27" s="173"/>
      <c r="L27" s="53"/>
    </row>
    <row r="28" spans="2:12" x14ac:dyDescent="0.25">
      <c r="B28" s="100"/>
      <c r="C28" s="56" t="s">
        <v>8</v>
      </c>
      <c r="D28" s="104"/>
      <c r="E28" s="104"/>
      <c r="F28" s="104"/>
      <c r="G28" s="104"/>
      <c r="H28" s="57"/>
      <c r="I28" s="11"/>
      <c r="J28" s="174"/>
      <c r="K28" s="24"/>
      <c r="L28" s="53"/>
    </row>
    <row r="29" spans="2:12" x14ac:dyDescent="0.25">
      <c r="B29" s="100"/>
      <c r="C29" s="54" t="s">
        <v>7</v>
      </c>
      <c r="D29" s="102"/>
      <c r="E29" s="102"/>
      <c r="F29" s="102"/>
      <c r="G29" s="102"/>
      <c r="H29" s="55"/>
      <c r="I29" s="11"/>
      <c r="J29" s="174"/>
      <c r="K29" s="24"/>
      <c r="L29" s="53"/>
    </row>
    <row r="30" spans="2:12" x14ac:dyDescent="0.25">
      <c r="B30" s="101"/>
      <c r="C30" s="66"/>
      <c r="D30" s="67"/>
      <c r="E30" s="67"/>
      <c r="F30" s="67"/>
      <c r="G30" s="67"/>
      <c r="H30" s="68"/>
      <c r="I30" s="10"/>
      <c r="J30" s="238" t="s">
        <v>6</v>
      </c>
      <c r="K30" s="72" t="s">
        <v>5</v>
      </c>
      <c r="L30" s="69">
        <f>L11+L18</f>
        <v>1700</v>
      </c>
    </row>
    <row r="31" spans="2:12" ht="30.75" customHeight="1" x14ac:dyDescent="0.25">
      <c r="B31" s="88" t="s">
        <v>4</v>
      </c>
      <c r="C31" s="534" t="s">
        <v>120</v>
      </c>
      <c r="D31" s="535"/>
      <c r="E31" s="535"/>
      <c r="F31" s="535"/>
      <c r="G31" s="535"/>
      <c r="H31" s="535"/>
      <c r="I31" s="535"/>
      <c r="J31" s="535"/>
      <c r="K31" s="535"/>
      <c r="L31" s="536"/>
    </row>
    <row r="32" spans="2:12" x14ac:dyDescent="0.25">
      <c r="B32" s="136"/>
      <c r="C32" s="137"/>
      <c r="D32" s="138"/>
      <c r="E32" s="138"/>
      <c r="F32" s="138"/>
      <c r="G32" s="138"/>
      <c r="H32" s="138"/>
      <c r="I32" s="138"/>
      <c r="J32" s="138"/>
      <c r="K32" s="138"/>
      <c r="L32" s="141"/>
    </row>
    <row r="33" spans="2:12" x14ac:dyDescent="0.25">
      <c r="B33" s="73"/>
      <c r="C33" s="445"/>
      <c r="D33" s="444"/>
      <c r="E33" s="444"/>
      <c r="F33" s="444"/>
      <c r="G33" s="444"/>
      <c r="H33" s="441" t="s">
        <v>3</v>
      </c>
      <c r="I33" s="442"/>
      <c r="J33" s="442"/>
      <c r="K33" s="442"/>
      <c r="L33" s="443"/>
    </row>
    <row r="34" spans="2:12" ht="12.75" customHeight="1" x14ac:dyDescent="0.25">
      <c r="B34" s="25"/>
      <c r="C34" s="450"/>
      <c r="D34" s="480"/>
      <c r="E34" s="480"/>
      <c r="F34" s="480"/>
      <c r="G34" s="451"/>
      <c r="H34" s="454"/>
      <c r="I34" s="455"/>
      <c r="J34" s="455"/>
      <c r="K34" s="455"/>
      <c r="L34" s="456"/>
    </row>
    <row r="35" spans="2:12" ht="9.75" customHeight="1" x14ac:dyDescent="0.25">
      <c r="B35" s="78" t="s">
        <v>2</v>
      </c>
      <c r="C35" s="452"/>
      <c r="D35" s="481"/>
      <c r="E35" s="481"/>
      <c r="F35" s="481"/>
      <c r="G35" s="453"/>
      <c r="H35" s="457"/>
      <c r="I35" s="458"/>
      <c r="J35" s="458"/>
      <c r="K35" s="458"/>
      <c r="L35" s="459"/>
    </row>
    <row r="36" spans="2:12" x14ac:dyDescent="0.25">
      <c r="B36" s="78" t="s">
        <v>1</v>
      </c>
      <c r="C36" s="440" t="s">
        <v>48</v>
      </c>
      <c r="D36" s="440"/>
      <c r="E36" s="440"/>
      <c r="F36" s="440"/>
      <c r="G36" s="440"/>
      <c r="H36" s="441" t="s">
        <v>31</v>
      </c>
      <c r="I36" s="442"/>
      <c r="J36" s="442"/>
      <c r="K36" s="442"/>
      <c r="L36" s="443"/>
    </row>
    <row r="37" spans="2:12" x14ac:dyDescent="0.25">
      <c r="B37" s="83" t="s">
        <v>0</v>
      </c>
      <c r="C37" s="444" t="s">
        <v>121</v>
      </c>
      <c r="D37" s="444"/>
      <c r="E37" s="444"/>
      <c r="F37" s="444"/>
      <c r="G37" s="444"/>
      <c r="H37" s="445" t="s">
        <v>32</v>
      </c>
      <c r="I37" s="444"/>
      <c r="J37" s="444"/>
      <c r="K37" s="444"/>
      <c r="L37" s="446"/>
    </row>
  </sheetData>
  <mergeCells count="27">
    <mergeCell ref="B1:L1"/>
    <mergeCell ref="B2:L2"/>
    <mergeCell ref="B3:L3"/>
    <mergeCell ref="C5:H5"/>
    <mergeCell ref="C7:G7"/>
    <mergeCell ref="K7:L7"/>
    <mergeCell ref="C8:G9"/>
    <mergeCell ref="D10:E10"/>
    <mergeCell ref="F10:G10"/>
    <mergeCell ref="D11:E11"/>
    <mergeCell ref="F11:G11"/>
    <mergeCell ref="C37:G37"/>
    <mergeCell ref="H37:L37"/>
    <mergeCell ref="C31:L31"/>
    <mergeCell ref="C33:G33"/>
    <mergeCell ref="H33:L33"/>
    <mergeCell ref="C14:G14"/>
    <mergeCell ref="K14:L14"/>
    <mergeCell ref="C15:G16"/>
    <mergeCell ref="D17:E17"/>
    <mergeCell ref="F17:G17"/>
    <mergeCell ref="D18:E18"/>
    <mergeCell ref="F18:G18"/>
    <mergeCell ref="C34:G35"/>
    <mergeCell ref="H34:L35"/>
    <mergeCell ref="C36:G36"/>
    <mergeCell ref="H36:L36"/>
  </mergeCells>
  <hyperlinks>
    <hyperlink ref="F18" r:id="rId1" xr:uid="{00000000-0004-0000-12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pageSetUpPr fitToPage="1"/>
  </sheetPr>
  <dimension ref="B1:L38"/>
  <sheetViews>
    <sheetView view="pageBreakPreview" topLeftCell="A15" zoomScaleNormal="100" zoomScaleSheetLayoutView="100" workbookViewId="0">
      <selection activeCell="F13" sqref="F13"/>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269</v>
      </c>
      <c r="J4" s="39"/>
      <c r="K4" s="27"/>
      <c r="L4" s="40" t="s">
        <v>273</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539" t="s">
        <v>274</v>
      </c>
      <c r="D8" s="540"/>
      <c r="E8" s="540"/>
      <c r="F8" s="540"/>
      <c r="G8" s="541"/>
      <c r="H8" s="103"/>
      <c r="I8" s="11"/>
      <c r="J8" s="52"/>
      <c r="L8" s="53"/>
    </row>
    <row r="9" spans="2:12" ht="19.5" customHeight="1" x14ac:dyDescent="0.25">
      <c r="B9" s="100"/>
      <c r="C9" s="632"/>
      <c r="D9" s="633"/>
      <c r="E9" s="633"/>
      <c r="F9" s="633"/>
      <c r="G9" s="634"/>
      <c r="H9" s="103"/>
      <c r="I9" s="11"/>
      <c r="J9" s="52"/>
      <c r="L9" s="53"/>
    </row>
    <row r="10" spans="2:12" ht="15.75" customHeight="1" x14ac:dyDescent="0.25">
      <c r="B10" s="100"/>
      <c r="C10" s="60" t="s">
        <v>21</v>
      </c>
      <c r="D10" s="469" t="s">
        <v>41</v>
      </c>
      <c r="E10" s="469"/>
      <c r="F10" s="469" t="s">
        <v>42</v>
      </c>
      <c r="G10" s="469"/>
      <c r="H10" s="225"/>
      <c r="I10" s="227"/>
      <c r="J10" s="228"/>
      <c r="K10" s="229"/>
      <c r="L10" s="230"/>
    </row>
    <row r="11" spans="2:12" ht="25.5" customHeight="1" x14ac:dyDescent="0.25">
      <c r="B11" s="100"/>
      <c r="C11" s="60">
        <v>1</v>
      </c>
      <c r="D11" s="635" t="s">
        <v>275</v>
      </c>
      <c r="E11" s="636"/>
      <c r="F11" s="699">
        <v>45127</v>
      </c>
      <c r="G11" s="700"/>
      <c r="H11" s="60">
        <v>1</v>
      </c>
      <c r="I11" s="227" t="s">
        <v>132</v>
      </c>
      <c r="J11" s="228">
        <v>150</v>
      </c>
      <c r="K11" s="229"/>
      <c r="L11" s="234">
        <f>H11*J11</f>
        <v>150</v>
      </c>
    </row>
    <row r="12" spans="2:12" ht="25.5" customHeight="1" x14ac:dyDescent="0.25">
      <c r="B12" s="100"/>
      <c r="C12" s="64" t="s">
        <v>276</v>
      </c>
      <c r="D12" s="701" t="s">
        <v>277</v>
      </c>
      <c r="E12" s="701"/>
      <c r="F12" s="242"/>
      <c r="G12" s="153"/>
      <c r="H12" s="243"/>
      <c r="J12" s="169"/>
      <c r="K12" s="59"/>
      <c r="L12" s="158"/>
    </row>
    <row r="13" spans="2:12" ht="30.75" customHeight="1" x14ac:dyDescent="0.25">
      <c r="B13" s="100"/>
      <c r="C13" s="64"/>
      <c r="D13" s="222"/>
      <c r="E13" s="222"/>
      <c r="F13" s="223"/>
      <c r="G13" s="153"/>
      <c r="H13" s="107"/>
      <c r="J13" s="169"/>
      <c r="K13" s="59"/>
      <c r="L13" s="158"/>
    </row>
    <row r="14" spans="2:12" ht="33" customHeight="1" x14ac:dyDescent="0.25">
      <c r="B14" s="100"/>
      <c r="C14" s="428" t="s">
        <v>19</v>
      </c>
      <c r="D14" s="462"/>
      <c r="E14" s="462"/>
      <c r="F14" s="462"/>
      <c r="G14" s="429"/>
      <c r="H14" s="143" t="s">
        <v>21</v>
      </c>
      <c r="I14" s="33" t="s">
        <v>20</v>
      </c>
      <c r="J14" s="47" t="s">
        <v>18</v>
      </c>
      <c r="K14" s="430" t="s">
        <v>17</v>
      </c>
      <c r="L14" s="431"/>
    </row>
    <row r="15" spans="2:12" ht="15.75" customHeight="1" x14ac:dyDescent="0.25">
      <c r="B15" s="100"/>
      <c r="C15" s="539" t="s">
        <v>279</v>
      </c>
      <c r="D15" s="540"/>
      <c r="E15" s="540"/>
      <c r="F15" s="540"/>
      <c r="G15" s="541"/>
      <c r="H15" s="103"/>
      <c r="I15" s="11"/>
      <c r="J15" s="52"/>
      <c r="L15" s="53"/>
    </row>
    <row r="16" spans="2:12" ht="23.25" customHeight="1" x14ac:dyDescent="0.25">
      <c r="B16" s="100"/>
      <c r="C16" s="632"/>
      <c r="D16" s="633"/>
      <c r="E16" s="633"/>
      <c r="F16" s="633"/>
      <c r="G16" s="634"/>
      <c r="H16" s="309"/>
      <c r="I16" s="10"/>
      <c r="J16" s="310"/>
      <c r="K16" s="59"/>
      <c r="L16" s="158"/>
    </row>
    <row r="17" spans="2:12" ht="20.25" customHeight="1" x14ac:dyDescent="0.25">
      <c r="B17" s="100"/>
      <c r="C17" s="60" t="s">
        <v>21</v>
      </c>
      <c r="D17" s="469" t="s">
        <v>41</v>
      </c>
      <c r="E17" s="469"/>
      <c r="F17" s="469" t="s">
        <v>42</v>
      </c>
      <c r="G17" s="469"/>
      <c r="H17" s="256"/>
      <c r="I17" s="227"/>
      <c r="J17" s="241"/>
      <c r="K17" s="229"/>
      <c r="L17" s="234"/>
    </row>
    <row r="18" spans="2:12" ht="20.25" customHeight="1" x14ac:dyDescent="0.25">
      <c r="B18" s="100"/>
      <c r="C18" s="60">
        <v>40</v>
      </c>
      <c r="D18" s="702" t="s">
        <v>109</v>
      </c>
      <c r="E18" s="697"/>
      <c r="F18" s="703">
        <v>45127</v>
      </c>
      <c r="G18" s="704"/>
      <c r="H18" s="256">
        <v>40</v>
      </c>
      <c r="I18" s="227" t="s">
        <v>107</v>
      </c>
      <c r="J18" s="241">
        <v>40</v>
      </c>
      <c r="K18" s="229"/>
      <c r="L18" s="234">
        <f>H18*J18</f>
        <v>1600</v>
      </c>
    </row>
    <row r="19" spans="2:12" ht="21.75" customHeight="1" x14ac:dyDescent="0.25">
      <c r="B19" s="100"/>
      <c r="C19" s="60">
        <v>120</v>
      </c>
      <c r="D19" s="635" t="s">
        <v>278</v>
      </c>
      <c r="E19" s="636"/>
      <c r="F19" s="705"/>
      <c r="G19" s="706"/>
      <c r="H19" s="60">
        <v>120</v>
      </c>
      <c r="I19" s="227" t="s">
        <v>107</v>
      </c>
      <c r="J19" s="241">
        <v>45</v>
      </c>
      <c r="K19" s="229"/>
      <c r="L19" s="234">
        <f>H19*J19</f>
        <v>5400</v>
      </c>
    </row>
    <row r="20" spans="2:12" ht="20.25" customHeight="1" x14ac:dyDescent="0.25">
      <c r="B20" s="100"/>
      <c r="C20" s="239"/>
      <c r="D20" s="240"/>
      <c r="E20" s="240"/>
      <c r="F20" s="223"/>
      <c r="G20" s="153"/>
      <c r="H20" s="61"/>
      <c r="I20" s="11"/>
      <c r="J20" s="173"/>
      <c r="K20" s="59"/>
      <c r="L20" s="158"/>
    </row>
    <row r="21" spans="2:12" x14ac:dyDescent="0.25">
      <c r="B21" s="100"/>
      <c r="C21" s="96" t="s">
        <v>33</v>
      </c>
      <c r="D21" s="107"/>
      <c r="E21" s="107"/>
      <c r="F21" s="108"/>
      <c r="G21" s="108"/>
      <c r="H21" s="61"/>
      <c r="I21" s="62"/>
      <c r="J21" s="237"/>
      <c r="K21" s="59"/>
      <c r="L21" s="53"/>
    </row>
    <row r="22" spans="2:12" x14ac:dyDescent="0.25">
      <c r="B22" s="100"/>
      <c r="C22" s="95" t="s">
        <v>34</v>
      </c>
      <c r="D22" s="107"/>
      <c r="E22" s="107"/>
      <c r="F22" s="108"/>
      <c r="G22" s="108"/>
      <c r="H22" s="61"/>
      <c r="I22" s="62"/>
      <c r="J22" s="237"/>
      <c r="K22" s="59"/>
      <c r="L22" s="53"/>
    </row>
    <row r="23" spans="2:12" x14ac:dyDescent="0.25">
      <c r="B23" s="100"/>
      <c r="C23" s="95" t="s">
        <v>35</v>
      </c>
      <c r="D23" s="107"/>
      <c r="E23" s="107"/>
      <c r="F23" s="108"/>
      <c r="G23" s="108"/>
      <c r="H23" s="61"/>
      <c r="I23" s="62"/>
      <c r="J23" s="237"/>
      <c r="K23" s="59"/>
      <c r="L23" s="53"/>
    </row>
    <row r="24" spans="2:12" x14ac:dyDescent="0.25">
      <c r="B24" s="100"/>
      <c r="C24" s="95"/>
      <c r="D24" s="107"/>
      <c r="E24" s="107"/>
      <c r="F24" s="108"/>
      <c r="G24" s="108"/>
      <c r="H24" s="61"/>
      <c r="I24" s="62"/>
      <c r="J24" s="237"/>
      <c r="K24" s="59"/>
      <c r="L24" s="53"/>
    </row>
    <row r="25" spans="2:12" x14ac:dyDescent="0.25">
      <c r="B25" s="100"/>
      <c r="C25" s="96" t="s">
        <v>36</v>
      </c>
      <c r="D25" s="107"/>
      <c r="E25" s="107"/>
      <c r="F25" s="108"/>
      <c r="G25" s="108"/>
      <c r="H25" s="61"/>
      <c r="I25" s="62"/>
      <c r="J25" s="237"/>
      <c r="K25" s="59"/>
      <c r="L25" s="53"/>
    </row>
    <row r="26" spans="2:12" x14ac:dyDescent="0.25">
      <c r="B26" s="100"/>
      <c r="C26" s="95" t="s">
        <v>37</v>
      </c>
      <c r="D26" s="109"/>
      <c r="E26" s="109"/>
      <c r="F26" s="109"/>
      <c r="G26" s="109"/>
      <c r="H26" s="65"/>
      <c r="I26" s="11"/>
      <c r="J26" s="173"/>
      <c r="L26" s="53"/>
    </row>
    <row r="27" spans="2:12" x14ac:dyDescent="0.25">
      <c r="B27" s="100"/>
      <c r="C27" s="95" t="s">
        <v>84</v>
      </c>
      <c r="D27" s="109"/>
      <c r="E27" s="109"/>
      <c r="F27" s="109"/>
      <c r="G27" s="109"/>
      <c r="H27" s="65"/>
      <c r="I27" s="11"/>
      <c r="J27" s="173"/>
      <c r="L27" s="53"/>
    </row>
    <row r="28" spans="2:12" x14ac:dyDescent="0.25">
      <c r="B28" s="100"/>
      <c r="C28" s="95"/>
      <c r="D28" s="109"/>
      <c r="E28" s="109"/>
      <c r="F28" s="109"/>
      <c r="G28" s="109"/>
      <c r="H28" s="65"/>
      <c r="I28" s="11"/>
      <c r="J28" s="173"/>
      <c r="L28" s="53"/>
    </row>
    <row r="29" spans="2:12" x14ac:dyDescent="0.25">
      <c r="B29" s="100"/>
      <c r="C29" s="56" t="s">
        <v>8</v>
      </c>
      <c r="D29" s="104"/>
      <c r="E29" s="104"/>
      <c r="F29" s="104"/>
      <c r="G29" s="104"/>
      <c r="H29" s="57"/>
      <c r="I29" s="11"/>
      <c r="J29" s="174"/>
      <c r="K29" s="24"/>
      <c r="L29" s="53"/>
    </row>
    <row r="30" spans="2:12" x14ac:dyDescent="0.25">
      <c r="B30" s="100"/>
      <c r="C30" s="54" t="s">
        <v>7</v>
      </c>
      <c r="D30" s="102"/>
      <c r="E30" s="102"/>
      <c r="F30" s="102"/>
      <c r="G30" s="102"/>
      <c r="H30" s="55"/>
      <c r="I30" s="11"/>
      <c r="J30" s="174"/>
      <c r="K30" s="24"/>
      <c r="L30" s="53"/>
    </row>
    <row r="31" spans="2:12" x14ac:dyDescent="0.25">
      <c r="B31" s="101"/>
      <c r="C31" s="66"/>
      <c r="D31" s="67"/>
      <c r="E31" s="67"/>
      <c r="F31" s="67"/>
      <c r="G31" s="67"/>
      <c r="H31" s="68"/>
      <c r="I31" s="10"/>
      <c r="J31" s="238" t="s">
        <v>6</v>
      </c>
      <c r="K31" s="72" t="s">
        <v>5</v>
      </c>
      <c r="L31" s="69">
        <f>L11+L19</f>
        <v>5550</v>
      </c>
    </row>
    <row r="32" spans="2:12" ht="30.75" customHeight="1" x14ac:dyDescent="0.25">
      <c r="B32" s="88" t="s">
        <v>4</v>
      </c>
      <c r="C32" s="534" t="s">
        <v>280</v>
      </c>
      <c r="D32" s="535"/>
      <c r="E32" s="535"/>
      <c r="F32" s="535"/>
      <c r="G32" s="535"/>
      <c r="H32" s="535"/>
      <c r="I32" s="535"/>
      <c r="J32" s="535"/>
      <c r="K32" s="535"/>
      <c r="L32" s="536"/>
    </row>
    <row r="33" spans="2:12" x14ac:dyDescent="0.25">
      <c r="B33" s="136"/>
      <c r="C33" s="137"/>
      <c r="D33" s="138"/>
      <c r="E33" s="138"/>
      <c r="F33" s="138"/>
      <c r="G33" s="138"/>
      <c r="H33" s="138"/>
      <c r="I33" s="138"/>
      <c r="J33" s="138"/>
      <c r="K33" s="138"/>
      <c r="L33" s="141"/>
    </row>
    <row r="34" spans="2:12" x14ac:dyDescent="0.25">
      <c r="B34" s="73"/>
      <c r="C34" s="445"/>
      <c r="D34" s="444"/>
      <c r="E34" s="444"/>
      <c r="F34" s="444"/>
      <c r="G34" s="444"/>
      <c r="H34" s="441" t="s">
        <v>3</v>
      </c>
      <c r="I34" s="442"/>
      <c r="J34" s="442"/>
      <c r="K34" s="442"/>
      <c r="L34" s="443"/>
    </row>
    <row r="35" spans="2:12" ht="12.75" customHeight="1" x14ac:dyDescent="0.25">
      <c r="B35" s="25"/>
      <c r="C35" s="450"/>
      <c r="D35" s="480"/>
      <c r="E35" s="480"/>
      <c r="F35" s="480"/>
      <c r="G35" s="451"/>
      <c r="H35" s="454"/>
      <c r="I35" s="455"/>
      <c r="J35" s="455"/>
      <c r="K35" s="455"/>
      <c r="L35" s="456"/>
    </row>
    <row r="36" spans="2:12" ht="9.75" customHeight="1" x14ac:dyDescent="0.25">
      <c r="B36" s="78" t="s">
        <v>2</v>
      </c>
      <c r="C36" s="452"/>
      <c r="D36" s="481"/>
      <c r="E36" s="481"/>
      <c r="F36" s="481"/>
      <c r="G36" s="453"/>
      <c r="H36" s="457"/>
      <c r="I36" s="458"/>
      <c r="J36" s="458"/>
      <c r="K36" s="458"/>
      <c r="L36" s="459"/>
    </row>
    <row r="37" spans="2:12" x14ac:dyDescent="0.25">
      <c r="B37" s="78" t="s">
        <v>1</v>
      </c>
      <c r="C37" s="440" t="s">
        <v>216</v>
      </c>
      <c r="D37" s="440"/>
      <c r="E37" s="440"/>
      <c r="F37" s="440"/>
      <c r="G37" s="440"/>
      <c r="H37" s="441" t="s">
        <v>272</v>
      </c>
      <c r="I37" s="442"/>
      <c r="J37" s="442"/>
      <c r="K37" s="442"/>
      <c r="L37" s="443"/>
    </row>
    <row r="38" spans="2:12" x14ac:dyDescent="0.25">
      <c r="B38" s="83" t="s">
        <v>0</v>
      </c>
      <c r="C38" s="444" t="s">
        <v>281</v>
      </c>
      <c r="D38" s="444"/>
      <c r="E38" s="444"/>
      <c r="F38" s="444"/>
      <c r="G38" s="444"/>
      <c r="H38" s="445" t="s">
        <v>32</v>
      </c>
      <c r="I38" s="444"/>
      <c r="J38" s="444"/>
      <c r="K38" s="444"/>
      <c r="L38" s="446"/>
    </row>
  </sheetData>
  <mergeCells count="29">
    <mergeCell ref="C38:G38"/>
    <mergeCell ref="H38:L38"/>
    <mergeCell ref="D12:E12"/>
    <mergeCell ref="D18:E18"/>
    <mergeCell ref="F18:G19"/>
    <mergeCell ref="C32:L32"/>
    <mergeCell ref="C34:G34"/>
    <mergeCell ref="H34:L34"/>
    <mergeCell ref="C35:G36"/>
    <mergeCell ref="H35:L36"/>
    <mergeCell ref="C37:G37"/>
    <mergeCell ref="H37:L37"/>
    <mergeCell ref="K14:L14"/>
    <mergeCell ref="C15:G16"/>
    <mergeCell ref="D17:E17"/>
    <mergeCell ref="F17:G17"/>
    <mergeCell ref="D19:E19"/>
    <mergeCell ref="C8:G9"/>
    <mergeCell ref="D10:E10"/>
    <mergeCell ref="F10:G10"/>
    <mergeCell ref="D11:E11"/>
    <mergeCell ref="F11:G11"/>
    <mergeCell ref="C14:G14"/>
    <mergeCell ref="B1:L1"/>
    <mergeCell ref="B2:L2"/>
    <mergeCell ref="B3:L3"/>
    <mergeCell ref="C5:H5"/>
    <mergeCell ref="C7:G7"/>
    <mergeCell ref="K7:L7"/>
  </mergeCells>
  <pageMargins left="0.23622047244094491" right="0.23622047244094491" top="1.1417322834645669" bottom="0.74803149606299213" header="0.31496062992125984" footer="0.31496062992125984"/>
  <pageSetup paperSize="9" scale="72" fitToHeight="0"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pageSetUpPr fitToPage="1"/>
  </sheetPr>
  <dimension ref="B1:L48"/>
  <sheetViews>
    <sheetView view="pageBreakPreview" topLeftCell="A26" zoomScaleNormal="100" zoomScaleSheetLayoutView="100" workbookViewId="0">
      <selection activeCell="H45" sqref="H45:L46"/>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510</v>
      </c>
      <c r="J4" s="39"/>
      <c r="K4" s="27"/>
      <c r="L4" s="40" t="s">
        <v>511</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3"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539" t="s">
        <v>509</v>
      </c>
      <c r="D8" s="540"/>
      <c r="E8" s="540"/>
      <c r="F8" s="540"/>
      <c r="G8" s="541"/>
      <c r="H8" s="103"/>
      <c r="I8" s="11"/>
      <c r="J8" s="52"/>
      <c r="L8" s="53"/>
    </row>
    <row r="9" spans="2:12" ht="32.450000000000003" customHeight="1" x14ac:dyDescent="0.25">
      <c r="B9" s="100"/>
      <c r="C9" s="632"/>
      <c r="D9" s="633"/>
      <c r="E9" s="633"/>
      <c r="F9" s="633"/>
      <c r="G9" s="634"/>
      <c r="H9" s="103"/>
      <c r="I9" s="11"/>
      <c r="J9" s="52"/>
      <c r="L9" s="53"/>
    </row>
    <row r="10" spans="2:12" ht="15.75" customHeight="1" x14ac:dyDescent="0.25">
      <c r="B10" s="100"/>
      <c r="C10" s="60" t="s">
        <v>21</v>
      </c>
      <c r="D10" s="469" t="s">
        <v>41</v>
      </c>
      <c r="E10" s="469"/>
      <c r="F10" s="469" t="s">
        <v>42</v>
      </c>
      <c r="G10" s="469"/>
      <c r="H10" s="225"/>
      <c r="I10" s="227"/>
      <c r="J10" s="228"/>
      <c r="K10" s="229"/>
      <c r="L10" s="230"/>
    </row>
    <row r="11" spans="2:12" ht="15.75" customHeight="1" x14ac:dyDescent="0.25">
      <c r="B11" s="100"/>
      <c r="C11" s="60">
        <v>6</v>
      </c>
      <c r="D11" s="702" t="s">
        <v>308</v>
      </c>
      <c r="E11" s="697"/>
      <c r="F11" s="708">
        <v>45618</v>
      </c>
      <c r="G11" s="709"/>
      <c r="H11" s="225">
        <v>5</v>
      </c>
      <c r="I11" s="227" t="s">
        <v>53</v>
      </c>
      <c r="J11" s="228">
        <v>2000</v>
      </c>
      <c r="K11" s="229"/>
      <c r="L11" s="311">
        <f>H11*J11</f>
        <v>10000</v>
      </c>
    </row>
    <row r="12" spans="2:12" ht="15.75" customHeight="1" x14ac:dyDescent="0.25">
      <c r="B12" s="100"/>
      <c r="C12" s="60">
        <v>12</v>
      </c>
      <c r="D12" s="702" t="s">
        <v>307</v>
      </c>
      <c r="E12" s="697"/>
      <c r="F12" s="710"/>
      <c r="G12" s="711"/>
      <c r="H12" s="225">
        <v>12</v>
      </c>
      <c r="I12" s="227" t="s">
        <v>53</v>
      </c>
      <c r="J12" s="228">
        <v>2350</v>
      </c>
      <c r="K12" s="229"/>
      <c r="L12" s="311">
        <f t="shared" ref="L12:L14" si="0">H12*J12</f>
        <v>28200</v>
      </c>
    </row>
    <row r="13" spans="2:12" ht="15.75" customHeight="1" x14ac:dyDescent="0.25">
      <c r="B13" s="100"/>
      <c r="C13" s="60">
        <v>78</v>
      </c>
      <c r="D13" s="702" t="s">
        <v>307</v>
      </c>
      <c r="E13" s="697"/>
      <c r="F13" s="710"/>
      <c r="G13" s="711"/>
      <c r="H13" s="225">
        <v>78</v>
      </c>
      <c r="I13" s="227" t="s">
        <v>53</v>
      </c>
      <c r="J13" s="228">
        <v>2350</v>
      </c>
      <c r="K13" s="229"/>
      <c r="L13" s="311">
        <f t="shared" si="0"/>
        <v>183300</v>
      </c>
    </row>
    <row r="14" spans="2:12" ht="17.25" customHeight="1" x14ac:dyDescent="0.25">
      <c r="B14" s="100"/>
      <c r="C14" s="60">
        <v>4</v>
      </c>
      <c r="D14" s="635" t="s">
        <v>308</v>
      </c>
      <c r="E14" s="636"/>
      <c r="F14" s="712"/>
      <c r="G14" s="713"/>
      <c r="H14" s="60">
        <v>4</v>
      </c>
      <c r="I14" s="227" t="s">
        <v>53</v>
      </c>
      <c r="J14" s="228">
        <v>2000</v>
      </c>
      <c r="K14" s="229"/>
      <c r="L14" s="311">
        <f t="shared" si="0"/>
        <v>8000</v>
      </c>
    </row>
    <row r="15" spans="2:12" ht="17.25" customHeight="1" x14ac:dyDescent="0.25">
      <c r="B15" s="100"/>
      <c r="C15" s="312" t="s">
        <v>311</v>
      </c>
      <c r="D15" s="235"/>
      <c r="E15" s="235"/>
      <c r="F15" s="107"/>
      <c r="G15" s="107"/>
      <c r="H15" s="243"/>
      <c r="J15" s="169"/>
      <c r="K15" s="59"/>
      <c r="L15" s="226"/>
    </row>
    <row r="16" spans="2:12" ht="17.25" customHeight="1" x14ac:dyDescent="0.25">
      <c r="B16" s="100"/>
      <c r="C16" s="239" t="s">
        <v>515</v>
      </c>
      <c r="D16" s="235"/>
      <c r="E16" s="235"/>
      <c r="F16" s="107"/>
      <c r="G16" s="107"/>
      <c r="H16" s="243"/>
      <c r="J16" s="169"/>
      <c r="K16" s="59"/>
      <c r="L16" s="226"/>
    </row>
    <row r="17" spans="2:12" ht="17.25" customHeight="1" x14ac:dyDescent="0.25">
      <c r="B17" s="100"/>
      <c r="C17" s="239" t="s">
        <v>514</v>
      </c>
      <c r="D17" s="235"/>
      <c r="E17" s="235"/>
      <c r="F17" s="107"/>
      <c r="G17" s="107"/>
      <c r="H17" s="243"/>
      <c r="J17" s="169"/>
      <c r="K17" s="59"/>
      <c r="L17" s="226"/>
    </row>
    <row r="18" spans="2:12" ht="17.25" customHeight="1" x14ac:dyDescent="0.25">
      <c r="B18" s="100"/>
      <c r="C18" s="239" t="s">
        <v>312</v>
      </c>
      <c r="D18" s="235"/>
      <c r="E18" s="235"/>
      <c r="F18" s="107"/>
      <c r="G18" s="107"/>
      <c r="H18" s="243"/>
      <c r="J18" s="169"/>
      <c r="K18" s="59"/>
      <c r="L18" s="226"/>
    </row>
    <row r="19" spans="2:12" ht="17.25" customHeight="1" x14ac:dyDescent="0.25">
      <c r="B19" s="100"/>
      <c r="C19" s="239"/>
      <c r="D19" s="235"/>
      <c r="E19" s="235"/>
      <c r="F19" s="107"/>
      <c r="G19" s="107"/>
      <c r="H19" s="243"/>
      <c r="J19" s="169"/>
      <c r="K19" s="59"/>
      <c r="L19" s="226"/>
    </row>
    <row r="20" spans="2:12" ht="27.75" customHeight="1" x14ac:dyDescent="0.25">
      <c r="B20" s="100"/>
      <c r="C20" s="428" t="s">
        <v>19</v>
      </c>
      <c r="D20" s="462"/>
      <c r="E20" s="462"/>
      <c r="F20" s="462"/>
      <c r="G20" s="429"/>
      <c r="H20" s="143" t="s">
        <v>21</v>
      </c>
      <c r="I20" s="33" t="s">
        <v>20</v>
      </c>
      <c r="J20" s="47" t="s">
        <v>18</v>
      </c>
      <c r="K20" s="430" t="s">
        <v>17</v>
      </c>
      <c r="L20" s="431"/>
    </row>
    <row r="21" spans="2:12" ht="15.75" customHeight="1" x14ac:dyDescent="0.25">
      <c r="B21" s="100"/>
      <c r="C21" s="539" t="s">
        <v>512</v>
      </c>
      <c r="D21" s="540"/>
      <c r="E21" s="540"/>
      <c r="F21" s="540"/>
      <c r="G21" s="541"/>
      <c r="H21" s="103"/>
      <c r="I21" s="11"/>
      <c r="J21" s="52"/>
      <c r="L21" s="53"/>
    </row>
    <row r="22" spans="2:12" ht="27" customHeight="1" x14ac:dyDescent="0.25">
      <c r="B22" s="100"/>
      <c r="C22" s="632"/>
      <c r="D22" s="633"/>
      <c r="E22" s="633"/>
      <c r="F22" s="633"/>
      <c r="G22" s="634"/>
      <c r="H22" s="309"/>
      <c r="I22" s="10"/>
      <c r="J22" s="310"/>
      <c r="K22" s="59"/>
      <c r="L22" s="158"/>
    </row>
    <row r="23" spans="2:12" ht="20.25" customHeight="1" x14ac:dyDescent="0.25">
      <c r="B23" s="100"/>
      <c r="C23" s="60" t="s">
        <v>21</v>
      </c>
      <c r="D23" s="469" t="s">
        <v>41</v>
      </c>
      <c r="E23" s="469"/>
      <c r="F23" s="469" t="s">
        <v>42</v>
      </c>
      <c r="G23" s="469"/>
      <c r="H23" s="256"/>
      <c r="I23" s="227"/>
      <c r="J23" s="241"/>
      <c r="K23" s="229"/>
      <c r="L23" s="234"/>
    </row>
    <row r="24" spans="2:12" ht="20.25" customHeight="1" x14ac:dyDescent="0.25">
      <c r="B24" s="100"/>
      <c r="C24" s="60">
        <v>360</v>
      </c>
      <c r="D24" s="702" t="s">
        <v>513</v>
      </c>
      <c r="E24" s="697"/>
      <c r="F24" s="699">
        <v>45618</v>
      </c>
      <c r="G24" s="707"/>
      <c r="H24" s="256">
        <v>360</v>
      </c>
      <c r="I24" s="227" t="s">
        <v>53</v>
      </c>
      <c r="J24" s="241">
        <v>500</v>
      </c>
      <c r="K24" s="229"/>
      <c r="L24" s="234">
        <f>H24*J24</f>
        <v>180000</v>
      </c>
    </row>
    <row r="25" spans="2:12" ht="20.25" customHeight="1" x14ac:dyDescent="0.25">
      <c r="B25" s="100"/>
      <c r="C25" s="312" t="s">
        <v>311</v>
      </c>
      <c r="D25" s="240"/>
      <c r="E25" s="240"/>
      <c r="F25" s="223"/>
      <c r="G25" s="153"/>
      <c r="H25" s="61"/>
      <c r="I25" s="11"/>
      <c r="J25" s="173"/>
      <c r="K25" s="59"/>
      <c r="L25" s="158"/>
    </row>
    <row r="26" spans="2:12" ht="20.25" customHeight="1" x14ac:dyDescent="0.25">
      <c r="B26" s="100"/>
      <c r="C26" s="239" t="s">
        <v>515</v>
      </c>
      <c r="D26" s="240"/>
      <c r="E26" s="240"/>
      <c r="F26" s="223"/>
      <c r="G26" s="153"/>
      <c r="H26" s="61"/>
      <c r="I26" s="11"/>
      <c r="J26" s="173"/>
      <c r="K26" s="59"/>
      <c r="L26" s="158"/>
    </row>
    <row r="27" spans="2:12" ht="20.25" customHeight="1" x14ac:dyDescent="0.25">
      <c r="B27" s="100"/>
      <c r="C27" s="239" t="s">
        <v>516</v>
      </c>
      <c r="D27" s="240"/>
      <c r="E27" s="240"/>
      <c r="F27" s="223"/>
      <c r="G27" s="153"/>
      <c r="H27" s="61"/>
      <c r="I27" s="11"/>
      <c r="J27" s="173"/>
      <c r="K27" s="59"/>
      <c r="L27" s="158"/>
    </row>
    <row r="28" spans="2:12" ht="20.25" customHeight="1" x14ac:dyDescent="0.25">
      <c r="B28" s="100"/>
      <c r="C28" s="239" t="s">
        <v>312</v>
      </c>
      <c r="D28" s="240"/>
      <c r="E28" s="240"/>
      <c r="F28" s="223"/>
      <c r="G28" s="153"/>
      <c r="H28" s="61"/>
      <c r="I28" s="11"/>
      <c r="J28" s="173"/>
      <c r="K28" s="59"/>
      <c r="L28" s="158"/>
    </row>
    <row r="29" spans="2:12" ht="11.25" customHeight="1" x14ac:dyDescent="0.25">
      <c r="B29" s="100"/>
      <c r="C29" s="239"/>
      <c r="D29" s="240"/>
      <c r="E29" s="240"/>
      <c r="F29" s="223"/>
      <c r="G29" s="153"/>
      <c r="H29" s="61"/>
      <c r="I29" s="11"/>
      <c r="J29" s="173"/>
      <c r="K29" s="59"/>
      <c r="L29" s="158"/>
    </row>
    <row r="30" spans="2:12" x14ac:dyDescent="0.25">
      <c r="B30" s="100"/>
      <c r="C30" s="96" t="s">
        <v>33</v>
      </c>
      <c r="D30" s="107"/>
      <c r="E30" s="107"/>
      <c r="F30" s="108"/>
      <c r="G30" s="108"/>
      <c r="H30" s="61"/>
      <c r="I30" s="62"/>
      <c r="J30" s="237"/>
      <c r="K30" s="59"/>
      <c r="L30" s="53"/>
    </row>
    <row r="31" spans="2:12" x14ac:dyDescent="0.25">
      <c r="B31" s="100"/>
      <c r="C31" s="95" t="s">
        <v>34</v>
      </c>
      <c r="D31" s="107"/>
      <c r="E31" s="107"/>
      <c r="F31" s="108"/>
      <c r="G31" s="108"/>
      <c r="H31" s="61"/>
      <c r="I31" s="62"/>
      <c r="J31" s="237"/>
      <c r="K31" s="59"/>
      <c r="L31" s="53"/>
    </row>
    <row r="32" spans="2:12" x14ac:dyDescent="0.25">
      <c r="B32" s="100"/>
      <c r="C32" s="95" t="s">
        <v>35</v>
      </c>
      <c r="D32" s="107"/>
      <c r="E32" s="107"/>
      <c r="F32" s="108"/>
      <c r="G32" s="108"/>
      <c r="H32" s="61"/>
      <c r="I32" s="62"/>
      <c r="J32" s="237"/>
      <c r="K32" s="59"/>
      <c r="L32" s="53"/>
    </row>
    <row r="33" spans="2:12" x14ac:dyDescent="0.25">
      <c r="B33" s="100"/>
      <c r="C33" s="95"/>
      <c r="D33" s="107"/>
      <c r="E33" s="107"/>
      <c r="F33" s="108"/>
      <c r="G33" s="108"/>
      <c r="H33" s="61"/>
      <c r="I33" s="62"/>
      <c r="J33" s="237"/>
      <c r="K33" s="59"/>
      <c r="L33" s="53"/>
    </row>
    <row r="34" spans="2:12" x14ac:dyDescent="0.25">
      <c r="B34" s="100"/>
      <c r="C34" s="96" t="s">
        <v>36</v>
      </c>
      <c r="D34" s="107"/>
      <c r="E34" s="107"/>
      <c r="F34" s="108"/>
      <c r="G34" s="108"/>
      <c r="H34" s="61"/>
      <c r="I34" s="62"/>
      <c r="J34" s="237"/>
      <c r="K34" s="59"/>
      <c r="L34" s="53"/>
    </row>
    <row r="35" spans="2:12" x14ac:dyDescent="0.25">
      <c r="B35" s="100"/>
      <c r="C35" s="95" t="s">
        <v>37</v>
      </c>
      <c r="D35" s="109"/>
      <c r="E35" s="109"/>
      <c r="F35" s="109"/>
      <c r="G35" s="109"/>
      <c r="H35" s="65"/>
      <c r="I35" s="11"/>
      <c r="J35" s="173"/>
      <c r="L35" s="53"/>
    </row>
    <row r="36" spans="2:12" x14ac:dyDescent="0.25">
      <c r="B36" s="100"/>
      <c r="C36" s="95" t="s">
        <v>84</v>
      </c>
      <c r="D36" s="109"/>
      <c r="E36" s="109"/>
      <c r="F36" s="109"/>
      <c r="G36" s="109"/>
      <c r="H36" s="65"/>
      <c r="I36" s="11"/>
      <c r="J36" s="173"/>
      <c r="L36" s="53"/>
    </row>
    <row r="37" spans="2:12" x14ac:dyDescent="0.25">
      <c r="B37" s="100"/>
      <c r="C37" s="95" t="s">
        <v>517</v>
      </c>
      <c r="D37" s="109"/>
      <c r="E37" s="109"/>
      <c r="F37" s="109"/>
      <c r="G37" s="109"/>
      <c r="H37" s="65"/>
      <c r="I37" s="11"/>
      <c r="J37" s="173"/>
      <c r="L37" s="53"/>
    </row>
    <row r="38" spans="2:12" x14ac:dyDescent="0.25">
      <c r="B38" s="100"/>
      <c r="C38" s="95"/>
      <c r="D38" s="109"/>
      <c r="E38" s="109"/>
      <c r="F38" s="109"/>
      <c r="G38" s="109"/>
      <c r="H38" s="65"/>
      <c r="I38" s="11"/>
      <c r="J38" s="173"/>
      <c r="L38" s="53"/>
    </row>
    <row r="39" spans="2:12" x14ac:dyDescent="0.25">
      <c r="B39" s="100"/>
      <c r="C39" s="56" t="s">
        <v>8</v>
      </c>
      <c r="D39" s="104"/>
      <c r="E39" s="104"/>
      <c r="F39" s="104"/>
      <c r="G39" s="104"/>
      <c r="H39" s="57"/>
      <c r="I39" s="11"/>
      <c r="J39" s="174"/>
      <c r="K39" s="24"/>
      <c r="L39" s="53"/>
    </row>
    <row r="40" spans="2:12" x14ac:dyDescent="0.25">
      <c r="B40" s="100"/>
      <c r="C40" s="54" t="s">
        <v>7</v>
      </c>
      <c r="D40" s="102"/>
      <c r="E40" s="102"/>
      <c r="F40" s="102"/>
      <c r="G40" s="102"/>
      <c r="H40" s="55"/>
      <c r="I40" s="11"/>
      <c r="J40" s="174"/>
      <c r="K40" s="24"/>
      <c r="L40" s="53"/>
    </row>
    <row r="41" spans="2:12" x14ac:dyDescent="0.25">
      <c r="B41" s="100"/>
      <c r="C41" s="54"/>
      <c r="D41" s="102"/>
      <c r="E41" s="102"/>
      <c r="F41" s="102"/>
      <c r="G41" s="102"/>
      <c r="H41" s="55"/>
      <c r="J41" s="174"/>
      <c r="K41" s="24"/>
      <c r="L41" s="53"/>
    </row>
    <row r="42" spans="2:12" ht="18.75" x14ac:dyDescent="0.3">
      <c r="B42" s="100"/>
      <c r="C42" s="523" t="s">
        <v>518</v>
      </c>
      <c r="D42" s="524"/>
      <c r="E42" s="524"/>
      <c r="F42" s="524"/>
      <c r="G42" s="385"/>
      <c r="H42" s="65"/>
      <c r="J42" s="173"/>
      <c r="L42" s="53"/>
    </row>
    <row r="43" spans="2:12" x14ac:dyDescent="0.25">
      <c r="B43" s="101"/>
      <c r="C43" s="66"/>
      <c r="D43" s="67"/>
      <c r="E43" s="67"/>
      <c r="F43" s="67"/>
      <c r="G43" s="67"/>
      <c r="H43" s="68"/>
      <c r="I43" s="10"/>
      <c r="J43" s="238" t="s">
        <v>6</v>
      </c>
      <c r="K43" s="72" t="s">
        <v>5</v>
      </c>
      <c r="L43" s="69">
        <f>SUM(L11:L14,L24)</f>
        <v>409500</v>
      </c>
    </row>
    <row r="44" spans="2:12" ht="48.75" customHeight="1" x14ac:dyDescent="0.25">
      <c r="B44" s="88" t="s">
        <v>4</v>
      </c>
      <c r="C44" s="534" t="s">
        <v>313</v>
      </c>
      <c r="D44" s="535"/>
      <c r="E44" s="535"/>
      <c r="F44" s="535"/>
      <c r="G44" s="535"/>
      <c r="H44" s="535"/>
      <c r="I44" s="535"/>
      <c r="J44" s="535"/>
      <c r="K44" s="535"/>
      <c r="L44" s="536"/>
    </row>
    <row r="45" spans="2:12" ht="12.75" customHeight="1" x14ac:dyDescent="0.25">
      <c r="B45" s="25"/>
      <c r="C45" s="450"/>
      <c r="D45" s="480"/>
      <c r="E45" s="480"/>
      <c r="F45" s="480"/>
      <c r="G45" s="451"/>
      <c r="H45" s="454"/>
      <c r="I45" s="455"/>
      <c r="J45" s="455"/>
      <c r="K45" s="455"/>
      <c r="L45" s="456"/>
    </row>
    <row r="46" spans="2:12" ht="12" customHeight="1" x14ac:dyDescent="0.25">
      <c r="B46" s="78" t="s">
        <v>2</v>
      </c>
      <c r="C46" s="452"/>
      <c r="D46" s="481"/>
      <c r="E46" s="481"/>
      <c r="F46" s="481"/>
      <c r="G46" s="453"/>
      <c r="H46" s="457"/>
      <c r="I46" s="458"/>
      <c r="J46" s="458"/>
      <c r="K46" s="458"/>
      <c r="L46" s="459"/>
    </row>
    <row r="47" spans="2:12" x14ac:dyDescent="0.25">
      <c r="B47" s="78" t="s">
        <v>1</v>
      </c>
      <c r="C47" s="440" t="s">
        <v>216</v>
      </c>
      <c r="D47" s="440"/>
      <c r="E47" s="440"/>
      <c r="F47" s="440"/>
      <c r="G47" s="440"/>
      <c r="H47" s="441" t="s">
        <v>272</v>
      </c>
      <c r="I47" s="442"/>
      <c r="J47" s="442"/>
      <c r="K47" s="442"/>
      <c r="L47" s="443"/>
    </row>
    <row r="48" spans="2:12" x14ac:dyDescent="0.25">
      <c r="B48" s="83" t="s">
        <v>0</v>
      </c>
      <c r="C48" s="444" t="s">
        <v>281</v>
      </c>
      <c r="D48" s="444"/>
      <c r="E48" s="444"/>
      <c r="F48" s="444"/>
      <c r="G48" s="444"/>
      <c r="H48" s="445" t="s">
        <v>32</v>
      </c>
      <c r="I48" s="444"/>
      <c r="J48" s="444"/>
      <c r="K48" s="444"/>
      <c r="L48" s="446"/>
    </row>
  </sheetData>
  <mergeCells count="29">
    <mergeCell ref="C48:G48"/>
    <mergeCell ref="H48:L48"/>
    <mergeCell ref="D11:E11"/>
    <mergeCell ref="D12:E12"/>
    <mergeCell ref="D13:E13"/>
    <mergeCell ref="F11:G14"/>
    <mergeCell ref="C44:L44"/>
    <mergeCell ref="C45:G46"/>
    <mergeCell ref="H45:L46"/>
    <mergeCell ref="C47:G47"/>
    <mergeCell ref="H47:L47"/>
    <mergeCell ref="C20:G20"/>
    <mergeCell ref="K20:L20"/>
    <mergeCell ref="C21:G22"/>
    <mergeCell ref="D23:E23"/>
    <mergeCell ref="F23:G23"/>
    <mergeCell ref="C42:F42"/>
    <mergeCell ref="B1:L1"/>
    <mergeCell ref="B2:L2"/>
    <mergeCell ref="B3:L3"/>
    <mergeCell ref="C5:H5"/>
    <mergeCell ref="C7:G7"/>
    <mergeCell ref="K7:L7"/>
    <mergeCell ref="D24:E24"/>
    <mergeCell ref="F24:G24"/>
    <mergeCell ref="C8:G9"/>
    <mergeCell ref="D10:E10"/>
    <mergeCell ref="F10:G10"/>
    <mergeCell ref="D14:E14"/>
  </mergeCells>
  <pageMargins left="0.23622047244094491" right="0.23622047244094491" top="1.1417322834645669" bottom="0.74803149606299213" header="0.31496062992125984" footer="0.31496062992125984"/>
  <pageSetup paperSize="9" scale="72" fitToHeight="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pageSetUpPr fitToPage="1"/>
  </sheetPr>
  <dimension ref="B1:L43"/>
  <sheetViews>
    <sheetView view="pageBreakPreview" topLeftCell="A11" zoomScaleNormal="100" zoomScaleSheetLayoutView="100" workbookViewId="0">
      <selection activeCell="G24" sqref="G24"/>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269</v>
      </c>
      <c r="J4" s="39"/>
      <c r="K4" s="27"/>
      <c r="L4" s="40" t="s">
        <v>273</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539" t="s">
        <v>309</v>
      </c>
      <c r="D8" s="540"/>
      <c r="E8" s="540"/>
      <c r="F8" s="540"/>
      <c r="G8" s="541"/>
      <c r="H8" s="103"/>
      <c r="I8" s="11"/>
      <c r="J8" s="52"/>
      <c r="L8" s="53"/>
    </row>
    <row r="9" spans="2:12" ht="17.25" customHeight="1" x14ac:dyDescent="0.25">
      <c r="B9" s="100"/>
      <c r="C9" s="632"/>
      <c r="D9" s="633"/>
      <c r="E9" s="633"/>
      <c r="F9" s="633"/>
      <c r="G9" s="634"/>
      <c r="H9" s="103"/>
      <c r="I9" s="11"/>
      <c r="J9" s="52"/>
      <c r="L9" s="53"/>
    </row>
    <row r="10" spans="2:12" ht="15.75" customHeight="1" x14ac:dyDescent="0.25">
      <c r="B10" s="100"/>
      <c r="C10" s="60" t="s">
        <v>21</v>
      </c>
      <c r="D10" s="469" t="s">
        <v>41</v>
      </c>
      <c r="E10" s="469"/>
      <c r="F10" s="469" t="s">
        <v>42</v>
      </c>
      <c r="G10" s="469"/>
      <c r="H10" s="225"/>
      <c r="I10" s="227"/>
      <c r="J10" s="228"/>
      <c r="K10" s="229"/>
      <c r="L10" s="230"/>
    </row>
    <row r="11" spans="2:12" ht="25.5" customHeight="1" x14ac:dyDescent="0.25">
      <c r="B11" s="100"/>
      <c r="C11" s="60">
        <v>5</v>
      </c>
      <c r="D11" s="635" t="s">
        <v>282</v>
      </c>
      <c r="E11" s="636"/>
      <c r="F11" s="699">
        <v>45135</v>
      </c>
      <c r="G11" s="700"/>
      <c r="H11" s="60">
        <v>5</v>
      </c>
      <c r="I11" s="227" t="s">
        <v>53</v>
      </c>
      <c r="J11" s="228">
        <v>205</v>
      </c>
      <c r="K11" s="229"/>
      <c r="L11" s="234">
        <f>H11*J11</f>
        <v>1025</v>
      </c>
    </row>
    <row r="12" spans="2:12" ht="25.5" customHeight="1" x14ac:dyDescent="0.25">
      <c r="B12" s="100"/>
      <c r="C12" s="715" t="s">
        <v>317</v>
      </c>
      <c r="D12" s="716"/>
      <c r="E12" s="716"/>
      <c r="F12" s="242"/>
      <c r="G12" s="153"/>
      <c r="H12" s="243"/>
      <c r="J12" s="169"/>
      <c r="K12" s="59"/>
      <c r="L12" s="158"/>
    </row>
    <row r="13" spans="2:12" ht="25.5" customHeight="1" x14ac:dyDescent="0.25">
      <c r="B13" s="100"/>
      <c r="C13" s="714" t="s">
        <v>314</v>
      </c>
      <c r="D13" s="623"/>
      <c r="E13" s="623"/>
      <c r="F13" s="242"/>
      <c r="G13" s="153"/>
      <c r="H13" s="243"/>
      <c r="J13" s="169"/>
      <c r="K13" s="59"/>
      <c r="L13" s="158"/>
    </row>
    <row r="14" spans="2:12" ht="30.75" customHeight="1" x14ac:dyDescent="0.25">
      <c r="B14" s="100"/>
      <c r="C14" s="620" t="s">
        <v>315</v>
      </c>
      <c r="D14" s="621"/>
      <c r="E14" s="621"/>
      <c r="F14" s="242"/>
      <c r="G14" s="153"/>
      <c r="H14" s="243"/>
      <c r="J14" s="169"/>
      <c r="K14" s="59"/>
      <c r="L14" s="158"/>
    </row>
    <row r="15" spans="2:12" ht="34.5" customHeight="1" x14ac:dyDescent="0.25">
      <c r="B15" s="100"/>
      <c r="C15" s="620" t="s">
        <v>316</v>
      </c>
      <c r="D15" s="621"/>
      <c r="E15" s="621"/>
      <c r="F15" s="242"/>
      <c r="G15" s="153"/>
      <c r="H15" s="243"/>
      <c r="J15" s="169"/>
      <c r="K15" s="59"/>
      <c r="L15" s="158"/>
    </row>
    <row r="16" spans="2:12" ht="25.5" customHeight="1" x14ac:dyDescent="0.25">
      <c r="B16" s="100"/>
      <c r="C16" s="428" t="s">
        <v>19</v>
      </c>
      <c r="D16" s="462"/>
      <c r="E16" s="462"/>
      <c r="F16" s="462"/>
      <c r="G16" s="429"/>
      <c r="H16" s="143" t="s">
        <v>21</v>
      </c>
      <c r="I16" s="33" t="s">
        <v>20</v>
      </c>
      <c r="J16" s="47" t="s">
        <v>18</v>
      </c>
      <c r="K16" s="430" t="s">
        <v>17</v>
      </c>
      <c r="L16" s="431"/>
    </row>
    <row r="17" spans="2:12" ht="15.75" customHeight="1" x14ac:dyDescent="0.25">
      <c r="B17" s="100"/>
      <c r="C17" s="539" t="s">
        <v>310</v>
      </c>
      <c r="D17" s="540"/>
      <c r="E17" s="540"/>
      <c r="F17" s="540"/>
      <c r="G17" s="541"/>
      <c r="H17" s="103"/>
      <c r="I17" s="11"/>
      <c r="J17" s="52"/>
      <c r="L17" s="53"/>
    </row>
    <row r="18" spans="2:12" ht="23.25" customHeight="1" x14ac:dyDescent="0.25">
      <c r="B18" s="100"/>
      <c r="C18" s="632"/>
      <c r="D18" s="633"/>
      <c r="E18" s="633"/>
      <c r="F18" s="633"/>
      <c r="G18" s="634"/>
      <c r="H18" s="309"/>
      <c r="I18" s="10"/>
      <c r="J18" s="310"/>
      <c r="K18" s="59"/>
      <c r="L18" s="158"/>
    </row>
    <row r="19" spans="2:12" ht="20.25" customHeight="1" x14ac:dyDescent="0.25">
      <c r="B19" s="100"/>
      <c r="C19" s="60" t="s">
        <v>21</v>
      </c>
      <c r="D19" s="469" t="s">
        <v>41</v>
      </c>
      <c r="E19" s="469"/>
      <c r="F19" s="469" t="s">
        <v>42</v>
      </c>
      <c r="G19" s="469"/>
      <c r="H19" s="256"/>
      <c r="I19" s="227"/>
      <c r="J19" s="241"/>
      <c r="K19" s="229"/>
      <c r="L19" s="234"/>
    </row>
    <row r="20" spans="2:12" ht="20.25" customHeight="1" x14ac:dyDescent="0.25">
      <c r="B20" s="100"/>
      <c r="C20" s="60">
        <v>40</v>
      </c>
      <c r="D20" s="702" t="s">
        <v>283</v>
      </c>
      <c r="E20" s="697"/>
      <c r="F20" s="699">
        <v>45135</v>
      </c>
      <c r="G20" s="707"/>
      <c r="H20" s="256">
        <v>40</v>
      </c>
      <c r="I20" s="227" t="s">
        <v>53</v>
      </c>
      <c r="J20" s="241">
        <v>200</v>
      </c>
      <c r="K20" s="229"/>
      <c r="L20" s="234">
        <f>H20*J20</f>
        <v>8000</v>
      </c>
    </row>
    <row r="21" spans="2:12" ht="22.5" customHeight="1" x14ac:dyDescent="0.25">
      <c r="B21" s="100"/>
      <c r="C21" s="715" t="s">
        <v>317</v>
      </c>
      <c r="D21" s="716"/>
      <c r="E21" s="716"/>
      <c r="F21" s="223"/>
      <c r="G21" s="153"/>
      <c r="H21" s="61"/>
      <c r="I21" s="11"/>
      <c r="J21" s="173"/>
      <c r="K21" s="59"/>
      <c r="L21" s="158"/>
    </row>
    <row r="22" spans="2:12" ht="21.75" customHeight="1" x14ac:dyDescent="0.25">
      <c r="B22" s="100"/>
      <c r="C22" s="714" t="s">
        <v>314</v>
      </c>
      <c r="D22" s="623"/>
      <c r="E22" s="623"/>
      <c r="F22" s="223"/>
      <c r="G22" s="153"/>
      <c r="H22" s="61"/>
      <c r="I22" s="11"/>
      <c r="J22" s="173"/>
      <c r="K22" s="59"/>
      <c r="L22" s="158"/>
    </row>
    <row r="23" spans="2:12" ht="27" customHeight="1" x14ac:dyDescent="0.25">
      <c r="B23" s="100"/>
      <c r="C23" s="620" t="s">
        <v>315</v>
      </c>
      <c r="D23" s="621"/>
      <c r="E23" s="621"/>
      <c r="F23" s="223"/>
      <c r="G23" s="153"/>
      <c r="H23" s="61"/>
      <c r="I23" s="11"/>
      <c r="J23" s="173"/>
      <c r="K23" s="59"/>
      <c r="L23" s="158"/>
    </row>
    <row r="24" spans="2:12" ht="28.5" customHeight="1" x14ac:dyDescent="0.25">
      <c r="B24" s="100"/>
      <c r="C24" s="620" t="s">
        <v>316</v>
      </c>
      <c r="D24" s="621"/>
      <c r="E24" s="621"/>
      <c r="F24" s="223"/>
      <c r="G24" s="153"/>
      <c r="H24" s="61"/>
      <c r="I24" s="11"/>
      <c r="J24" s="173"/>
      <c r="K24" s="59"/>
      <c r="L24" s="158"/>
    </row>
    <row r="25" spans="2:12" ht="20.25" customHeight="1" x14ac:dyDescent="0.25">
      <c r="B25" s="100"/>
      <c r="C25" s="239"/>
      <c r="D25" s="240"/>
      <c r="E25" s="240"/>
      <c r="F25" s="223"/>
      <c r="G25" s="153"/>
      <c r="H25" s="61"/>
      <c r="I25" s="11"/>
      <c r="J25" s="173"/>
      <c r="K25" s="59"/>
      <c r="L25" s="158"/>
    </row>
    <row r="26" spans="2:12" x14ac:dyDescent="0.25">
      <c r="B26" s="100"/>
      <c r="C26" s="96" t="s">
        <v>33</v>
      </c>
      <c r="D26" s="107"/>
      <c r="E26" s="107"/>
      <c r="F26" s="108"/>
      <c r="G26" s="108"/>
      <c r="H26" s="61"/>
      <c r="I26" s="62"/>
      <c r="J26" s="237"/>
      <c r="K26" s="59"/>
      <c r="L26" s="53"/>
    </row>
    <row r="27" spans="2:12" x14ac:dyDescent="0.25">
      <c r="B27" s="100"/>
      <c r="C27" s="95" t="s">
        <v>34</v>
      </c>
      <c r="D27" s="107"/>
      <c r="E27" s="107"/>
      <c r="F27" s="108"/>
      <c r="G27" s="108"/>
      <c r="H27" s="61"/>
      <c r="I27" s="62"/>
      <c r="J27" s="237"/>
      <c r="K27" s="59"/>
      <c r="L27" s="53"/>
    </row>
    <row r="28" spans="2:12" x14ac:dyDescent="0.25">
      <c r="B28" s="100"/>
      <c r="C28" s="95" t="s">
        <v>35</v>
      </c>
      <c r="D28" s="107"/>
      <c r="E28" s="107"/>
      <c r="F28" s="108"/>
      <c r="G28" s="108"/>
      <c r="H28" s="61"/>
      <c r="I28" s="62"/>
      <c r="J28" s="237"/>
      <c r="K28" s="59"/>
      <c r="L28" s="53"/>
    </row>
    <row r="29" spans="2:12" x14ac:dyDescent="0.25">
      <c r="B29" s="100"/>
      <c r="C29" s="95"/>
      <c r="D29" s="107"/>
      <c r="E29" s="107"/>
      <c r="F29" s="108"/>
      <c r="G29" s="108"/>
      <c r="H29" s="61"/>
      <c r="I29" s="62"/>
      <c r="J29" s="237"/>
      <c r="K29" s="59"/>
      <c r="L29" s="53"/>
    </row>
    <row r="30" spans="2:12" x14ac:dyDescent="0.25">
      <c r="B30" s="100"/>
      <c r="C30" s="96" t="s">
        <v>36</v>
      </c>
      <c r="D30" s="107"/>
      <c r="E30" s="107"/>
      <c r="F30" s="108"/>
      <c r="G30" s="108"/>
      <c r="H30" s="61"/>
      <c r="I30" s="62"/>
      <c r="J30" s="237"/>
      <c r="K30" s="59"/>
      <c r="L30" s="53"/>
    </row>
    <row r="31" spans="2:12" x14ac:dyDescent="0.25">
      <c r="B31" s="100"/>
      <c r="C31" s="95" t="s">
        <v>37</v>
      </c>
      <c r="D31" s="109"/>
      <c r="E31" s="109"/>
      <c r="F31" s="109"/>
      <c r="G31" s="109"/>
      <c r="H31" s="65"/>
      <c r="I31" s="11"/>
      <c r="J31" s="173"/>
      <c r="L31" s="53"/>
    </row>
    <row r="32" spans="2:12" x14ac:dyDescent="0.25">
      <c r="B32" s="100"/>
      <c r="C32" s="95" t="s">
        <v>84</v>
      </c>
      <c r="D32" s="109"/>
      <c r="E32" s="109"/>
      <c r="F32" s="109"/>
      <c r="G32" s="109"/>
      <c r="H32" s="65"/>
      <c r="I32" s="11"/>
      <c r="J32" s="173"/>
      <c r="L32" s="53"/>
    </row>
    <row r="33" spans="2:12" x14ac:dyDescent="0.25">
      <c r="B33" s="100"/>
      <c r="C33" s="95"/>
      <c r="D33" s="109"/>
      <c r="E33" s="109"/>
      <c r="F33" s="109"/>
      <c r="G33" s="109"/>
      <c r="H33" s="65"/>
      <c r="I33" s="11"/>
      <c r="J33" s="173"/>
      <c r="L33" s="53"/>
    </row>
    <row r="34" spans="2:12" x14ac:dyDescent="0.25">
      <c r="B34" s="100"/>
      <c r="C34" s="56" t="s">
        <v>8</v>
      </c>
      <c r="D34" s="104"/>
      <c r="E34" s="104"/>
      <c r="F34" s="104"/>
      <c r="G34" s="104"/>
      <c r="H34" s="57"/>
      <c r="I34" s="11"/>
      <c r="J34" s="174"/>
      <c r="K34" s="24"/>
      <c r="L34" s="53"/>
    </row>
    <row r="35" spans="2:12" x14ac:dyDescent="0.25">
      <c r="B35" s="100"/>
      <c r="C35" s="54" t="s">
        <v>7</v>
      </c>
      <c r="D35" s="102"/>
      <c r="E35" s="102"/>
      <c r="F35" s="102"/>
      <c r="G35" s="102"/>
      <c r="H35" s="55"/>
      <c r="I35" s="11"/>
      <c r="J35" s="174"/>
      <c r="K35" s="24"/>
      <c r="L35" s="53"/>
    </row>
    <row r="36" spans="2:12" x14ac:dyDescent="0.25">
      <c r="B36" s="101"/>
      <c r="C36" s="66"/>
      <c r="D36" s="67"/>
      <c r="E36" s="67"/>
      <c r="F36" s="67"/>
      <c r="G36" s="67"/>
      <c r="H36" s="68"/>
      <c r="I36" s="10"/>
      <c r="J36" s="238" t="s">
        <v>6</v>
      </c>
      <c r="K36" s="72" t="s">
        <v>5</v>
      </c>
      <c r="L36" s="69">
        <f>SUM(L20,L11)</f>
        <v>9025</v>
      </c>
    </row>
    <row r="37" spans="2:12" ht="45.75" customHeight="1" x14ac:dyDescent="0.25">
      <c r="B37" s="88" t="s">
        <v>4</v>
      </c>
      <c r="C37" s="534" t="s">
        <v>313</v>
      </c>
      <c r="D37" s="535"/>
      <c r="E37" s="535"/>
      <c r="F37" s="535"/>
      <c r="G37" s="535"/>
      <c r="H37" s="535"/>
      <c r="I37" s="535"/>
      <c r="J37" s="535"/>
      <c r="K37" s="535"/>
      <c r="L37" s="536"/>
    </row>
    <row r="38" spans="2:12" x14ac:dyDescent="0.25">
      <c r="B38" s="136"/>
      <c r="C38" s="137"/>
      <c r="D38" s="138"/>
      <c r="E38" s="138"/>
      <c r="F38" s="138"/>
      <c r="G38" s="138"/>
      <c r="H38" s="138"/>
      <c r="I38" s="138"/>
      <c r="J38" s="138"/>
      <c r="K38" s="138"/>
      <c r="L38" s="141"/>
    </row>
    <row r="39" spans="2:12" x14ac:dyDescent="0.25">
      <c r="B39" s="73"/>
      <c r="C39" s="445"/>
      <c r="D39" s="444"/>
      <c r="E39" s="444"/>
      <c r="F39" s="444"/>
      <c r="G39" s="444"/>
      <c r="H39" s="441" t="s">
        <v>3</v>
      </c>
      <c r="I39" s="442"/>
      <c r="J39" s="442"/>
      <c r="K39" s="442"/>
      <c r="L39" s="443"/>
    </row>
    <row r="40" spans="2:12" ht="12.75" customHeight="1" x14ac:dyDescent="0.25">
      <c r="B40" s="25"/>
      <c r="C40" s="450"/>
      <c r="D40" s="480"/>
      <c r="E40" s="480"/>
      <c r="F40" s="480"/>
      <c r="G40" s="451"/>
      <c r="H40" s="454"/>
      <c r="I40" s="455"/>
      <c r="J40" s="455"/>
      <c r="K40" s="455"/>
      <c r="L40" s="456"/>
    </row>
    <row r="41" spans="2:12" ht="9.75" customHeight="1" x14ac:dyDescent="0.25">
      <c r="B41" s="78" t="s">
        <v>2</v>
      </c>
      <c r="C41" s="452"/>
      <c r="D41" s="481"/>
      <c r="E41" s="481"/>
      <c r="F41" s="481"/>
      <c r="G41" s="453"/>
      <c r="H41" s="457"/>
      <c r="I41" s="458"/>
      <c r="J41" s="458"/>
      <c r="K41" s="458"/>
      <c r="L41" s="459"/>
    </row>
    <row r="42" spans="2:12" x14ac:dyDescent="0.25">
      <c r="B42" s="78" t="s">
        <v>1</v>
      </c>
      <c r="C42" s="440" t="s">
        <v>216</v>
      </c>
      <c r="D42" s="440"/>
      <c r="E42" s="440"/>
      <c r="F42" s="440"/>
      <c r="G42" s="440"/>
      <c r="H42" s="441" t="s">
        <v>272</v>
      </c>
      <c r="I42" s="442"/>
      <c r="J42" s="442"/>
      <c r="K42" s="442"/>
      <c r="L42" s="443"/>
    </row>
    <row r="43" spans="2:12" x14ac:dyDescent="0.25">
      <c r="B43" s="83" t="s">
        <v>0</v>
      </c>
      <c r="C43" s="444" t="s">
        <v>281</v>
      </c>
      <c r="D43" s="444"/>
      <c r="E43" s="444"/>
      <c r="F43" s="444"/>
      <c r="G43" s="444"/>
      <c r="H43" s="445" t="s">
        <v>32</v>
      </c>
      <c r="I43" s="444"/>
      <c r="J43" s="444"/>
      <c r="K43" s="444"/>
      <c r="L43" s="446"/>
    </row>
  </sheetData>
  <mergeCells count="35">
    <mergeCell ref="C24:E24"/>
    <mergeCell ref="K16:L16"/>
    <mergeCell ref="C17:G18"/>
    <mergeCell ref="D19:E19"/>
    <mergeCell ref="F19:G19"/>
    <mergeCell ref="C21:E21"/>
    <mergeCell ref="C22:E22"/>
    <mergeCell ref="C23:E23"/>
    <mergeCell ref="D20:E20"/>
    <mergeCell ref="F20:G20"/>
    <mergeCell ref="C16:G16"/>
    <mergeCell ref="C43:G43"/>
    <mergeCell ref="H43:L43"/>
    <mergeCell ref="C37:L37"/>
    <mergeCell ref="C39:G39"/>
    <mergeCell ref="H39:L39"/>
    <mergeCell ref="C40:G41"/>
    <mergeCell ref="H40:L41"/>
    <mergeCell ref="C42:G42"/>
    <mergeCell ref="H42:L42"/>
    <mergeCell ref="C13:E13"/>
    <mergeCell ref="C14:E14"/>
    <mergeCell ref="C15:E15"/>
    <mergeCell ref="C12:E12"/>
    <mergeCell ref="B1:L1"/>
    <mergeCell ref="B2:L2"/>
    <mergeCell ref="B3:L3"/>
    <mergeCell ref="C5:H5"/>
    <mergeCell ref="C7:G7"/>
    <mergeCell ref="K7:L7"/>
    <mergeCell ref="C8:G9"/>
    <mergeCell ref="D10:E10"/>
    <mergeCell ref="F10:G10"/>
    <mergeCell ref="D11:E11"/>
    <mergeCell ref="F11:G11"/>
  </mergeCells>
  <pageMargins left="0.23622047244094491" right="0.23622047244094491" top="1.1417322834645669" bottom="0.74803149606299213" header="0.31496062992125984" footer="0.31496062992125984"/>
  <pageSetup paperSize="9" scale="72" fitToHeight="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pageSetUpPr fitToPage="1"/>
  </sheetPr>
  <dimension ref="B1:L29"/>
  <sheetViews>
    <sheetView view="pageBreakPreview" zoomScaleNormal="100" zoomScaleSheetLayoutView="100" workbookViewId="0">
      <selection activeCell="E4" sqref="E4"/>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262</v>
      </c>
      <c r="J4" s="39"/>
      <c r="K4" s="27"/>
      <c r="L4" s="292" t="s">
        <v>263</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60" t="s">
        <v>21</v>
      </c>
      <c r="D8" s="469" t="s">
        <v>41</v>
      </c>
      <c r="E8" s="469"/>
      <c r="F8" s="469" t="s">
        <v>42</v>
      </c>
      <c r="G8" s="469"/>
      <c r="H8" s="225"/>
      <c r="I8" s="227"/>
      <c r="J8" s="228"/>
      <c r="K8" s="229"/>
      <c r="L8" s="230"/>
    </row>
    <row r="9" spans="2:12" ht="25.5" customHeight="1" x14ac:dyDescent="0.25">
      <c r="B9" s="100"/>
      <c r="C9" s="60">
        <v>2</v>
      </c>
      <c r="D9" s="635" t="s">
        <v>264</v>
      </c>
      <c r="E9" s="636"/>
      <c r="F9" s="703"/>
      <c r="G9" s="704"/>
      <c r="H9" s="60">
        <v>2</v>
      </c>
      <c r="I9" s="227" t="s">
        <v>265</v>
      </c>
      <c r="J9" s="228">
        <v>200</v>
      </c>
      <c r="K9" s="229"/>
      <c r="L9" s="234">
        <f>H9*J9</f>
        <v>400</v>
      </c>
    </row>
    <row r="10" spans="2:12" ht="21.75" customHeight="1" x14ac:dyDescent="0.25">
      <c r="B10" s="100"/>
      <c r="C10" s="60">
        <v>1</v>
      </c>
      <c r="D10" s="635" t="s">
        <v>266</v>
      </c>
      <c r="E10" s="636"/>
      <c r="F10" s="705"/>
      <c r="G10" s="706"/>
      <c r="H10" s="60">
        <v>1</v>
      </c>
      <c r="I10" s="227" t="s">
        <v>116</v>
      </c>
      <c r="J10" s="241">
        <v>400</v>
      </c>
      <c r="K10" s="229"/>
      <c r="L10" s="234">
        <f>H10*J10</f>
        <v>400</v>
      </c>
    </row>
    <row r="11" spans="2:12" ht="20.25" customHeight="1" x14ac:dyDescent="0.25">
      <c r="B11" s="100"/>
      <c r="C11" s="239"/>
      <c r="D11" s="240"/>
      <c r="E11" s="240"/>
      <c r="F11" s="223"/>
      <c r="G11" s="153"/>
      <c r="H11" s="61"/>
      <c r="I11" s="11"/>
      <c r="J11" s="173"/>
      <c r="K11" s="59"/>
      <c r="L11" s="158"/>
    </row>
    <row r="12" spans="2:12" x14ac:dyDescent="0.25">
      <c r="B12" s="100"/>
      <c r="C12" s="96" t="s">
        <v>33</v>
      </c>
      <c r="D12" s="107"/>
      <c r="E12" s="107"/>
      <c r="F12" s="108"/>
      <c r="G12" s="108"/>
      <c r="H12" s="61"/>
      <c r="I12" s="62"/>
      <c r="J12" s="237"/>
      <c r="K12" s="59"/>
      <c r="L12" s="53"/>
    </row>
    <row r="13" spans="2:12" x14ac:dyDescent="0.25">
      <c r="B13" s="100"/>
      <c r="C13" s="95" t="s">
        <v>34</v>
      </c>
      <c r="D13" s="107"/>
      <c r="E13" s="107"/>
      <c r="F13" s="108"/>
      <c r="G13" s="108"/>
      <c r="H13" s="61"/>
      <c r="I13" s="62"/>
      <c r="J13" s="237"/>
      <c r="K13" s="59"/>
      <c r="L13" s="53"/>
    </row>
    <row r="14" spans="2:12" x14ac:dyDescent="0.25">
      <c r="B14" s="100"/>
      <c r="C14" s="95" t="s">
        <v>35</v>
      </c>
      <c r="D14" s="107"/>
      <c r="E14" s="107"/>
      <c r="F14" s="108"/>
      <c r="G14" s="108"/>
      <c r="H14" s="61"/>
      <c r="I14" s="62"/>
      <c r="J14" s="237"/>
      <c r="K14" s="59"/>
      <c r="L14" s="53"/>
    </row>
    <row r="15" spans="2:12" x14ac:dyDescent="0.25">
      <c r="B15" s="100"/>
      <c r="C15" s="95"/>
      <c r="D15" s="107"/>
      <c r="E15" s="107"/>
      <c r="F15" s="108"/>
      <c r="G15" s="108"/>
      <c r="H15" s="61"/>
      <c r="I15" s="62"/>
      <c r="J15" s="237"/>
      <c r="K15" s="59"/>
      <c r="L15" s="53"/>
    </row>
    <row r="16" spans="2:12" x14ac:dyDescent="0.25">
      <c r="B16" s="100"/>
      <c r="C16" s="96" t="s">
        <v>36</v>
      </c>
      <c r="D16" s="107"/>
      <c r="E16" s="107"/>
      <c r="F16" s="108"/>
      <c r="G16" s="108"/>
      <c r="H16" s="61"/>
      <c r="I16" s="62"/>
      <c r="J16" s="237"/>
      <c r="K16" s="59"/>
      <c r="L16" s="53"/>
    </row>
    <row r="17" spans="2:12" x14ac:dyDescent="0.25">
      <c r="B17" s="100"/>
      <c r="C17" s="95" t="s">
        <v>37</v>
      </c>
      <c r="D17" s="109"/>
      <c r="E17" s="109"/>
      <c r="F17" s="109"/>
      <c r="G17" s="109"/>
      <c r="H17" s="65"/>
      <c r="I17" s="11"/>
      <c r="J17" s="173"/>
      <c r="L17" s="53"/>
    </row>
    <row r="18" spans="2:12" x14ac:dyDescent="0.25">
      <c r="B18" s="100"/>
      <c r="C18" s="95" t="s">
        <v>84</v>
      </c>
      <c r="D18" s="109"/>
      <c r="E18" s="109"/>
      <c r="F18" s="109"/>
      <c r="G18" s="109"/>
      <c r="H18" s="65"/>
      <c r="I18" s="11"/>
      <c r="J18" s="173"/>
      <c r="L18" s="53"/>
    </row>
    <row r="19" spans="2:12" x14ac:dyDescent="0.25">
      <c r="B19" s="100"/>
      <c r="C19" s="95"/>
      <c r="D19" s="109"/>
      <c r="E19" s="109"/>
      <c r="F19" s="109"/>
      <c r="G19" s="109"/>
      <c r="H19" s="65"/>
      <c r="I19" s="11"/>
      <c r="J19" s="173"/>
      <c r="L19" s="53"/>
    </row>
    <row r="20" spans="2:12" x14ac:dyDescent="0.25">
      <c r="B20" s="100"/>
      <c r="C20" s="56" t="s">
        <v>8</v>
      </c>
      <c r="D20" s="104"/>
      <c r="E20" s="104"/>
      <c r="F20" s="104"/>
      <c r="G20" s="104"/>
      <c r="H20" s="57"/>
      <c r="I20" s="11"/>
      <c r="J20" s="174"/>
      <c r="K20" s="24"/>
      <c r="L20" s="53"/>
    </row>
    <row r="21" spans="2:12" x14ac:dyDescent="0.25">
      <c r="B21" s="100"/>
      <c r="C21" s="54" t="s">
        <v>7</v>
      </c>
      <c r="D21" s="102"/>
      <c r="E21" s="102"/>
      <c r="F21" s="102"/>
      <c r="G21" s="102"/>
      <c r="H21" s="55"/>
      <c r="I21" s="11"/>
      <c r="J21" s="174"/>
      <c r="K21" s="24"/>
      <c r="L21" s="53"/>
    </row>
    <row r="22" spans="2:12" x14ac:dyDescent="0.25">
      <c r="B22" s="101"/>
      <c r="C22" s="66"/>
      <c r="D22" s="67"/>
      <c r="E22" s="67"/>
      <c r="F22" s="67"/>
      <c r="G22" s="67"/>
      <c r="H22" s="68"/>
      <c r="I22" s="10"/>
      <c r="J22" s="238" t="s">
        <v>6</v>
      </c>
      <c r="K22" s="72" t="s">
        <v>5</v>
      </c>
      <c r="L22" s="69">
        <f>L9+L10</f>
        <v>800</v>
      </c>
    </row>
    <row r="23" spans="2:12" ht="30.75" customHeight="1" x14ac:dyDescent="0.25">
      <c r="B23" s="88" t="s">
        <v>4</v>
      </c>
      <c r="C23" s="534" t="s">
        <v>268</v>
      </c>
      <c r="D23" s="535"/>
      <c r="E23" s="535"/>
      <c r="F23" s="535"/>
      <c r="G23" s="535"/>
      <c r="H23" s="535"/>
      <c r="I23" s="535"/>
      <c r="J23" s="535"/>
      <c r="K23" s="535"/>
      <c r="L23" s="536"/>
    </row>
    <row r="24" spans="2:12" x14ac:dyDescent="0.25">
      <c r="B24" s="136"/>
      <c r="C24" s="137"/>
      <c r="D24" s="138"/>
      <c r="E24" s="138"/>
      <c r="F24" s="138"/>
      <c r="G24" s="138"/>
      <c r="H24" s="138"/>
      <c r="I24" s="138"/>
      <c r="J24" s="138"/>
      <c r="K24" s="138"/>
      <c r="L24" s="141"/>
    </row>
    <row r="25" spans="2:12" x14ac:dyDescent="0.25">
      <c r="B25" s="73"/>
      <c r="C25" s="445"/>
      <c r="D25" s="444"/>
      <c r="E25" s="444"/>
      <c r="F25" s="444"/>
      <c r="G25" s="444"/>
      <c r="H25" s="441" t="s">
        <v>3</v>
      </c>
      <c r="I25" s="442"/>
      <c r="J25" s="442"/>
      <c r="K25" s="442"/>
      <c r="L25" s="443"/>
    </row>
    <row r="26" spans="2:12" ht="12.75" customHeight="1" x14ac:dyDescent="0.25">
      <c r="B26" s="25"/>
      <c r="C26" s="450"/>
      <c r="D26" s="480"/>
      <c r="E26" s="480"/>
      <c r="F26" s="480"/>
      <c r="G26" s="451"/>
      <c r="H26" s="454"/>
      <c r="I26" s="455"/>
      <c r="J26" s="455"/>
      <c r="K26" s="455"/>
      <c r="L26" s="456"/>
    </row>
    <row r="27" spans="2:12" ht="9.75" customHeight="1" x14ac:dyDescent="0.25">
      <c r="B27" s="78" t="s">
        <v>2</v>
      </c>
      <c r="C27" s="452"/>
      <c r="D27" s="481"/>
      <c r="E27" s="481"/>
      <c r="F27" s="481"/>
      <c r="G27" s="453"/>
      <c r="H27" s="457"/>
      <c r="I27" s="458"/>
      <c r="J27" s="458"/>
      <c r="K27" s="458"/>
      <c r="L27" s="459"/>
    </row>
    <row r="28" spans="2:12" x14ac:dyDescent="0.25">
      <c r="B28" s="78" t="s">
        <v>1</v>
      </c>
      <c r="C28" s="440" t="s">
        <v>216</v>
      </c>
      <c r="D28" s="440"/>
      <c r="E28" s="440"/>
      <c r="F28" s="440"/>
      <c r="G28" s="440"/>
      <c r="H28" s="441" t="s">
        <v>267</v>
      </c>
      <c r="I28" s="442"/>
      <c r="J28" s="442"/>
      <c r="K28" s="442"/>
      <c r="L28" s="443"/>
    </row>
    <row r="29" spans="2:12" x14ac:dyDescent="0.25">
      <c r="B29" s="83" t="s">
        <v>0</v>
      </c>
      <c r="C29" s="444" t="s">
        <v>217</v>
      </c>
      <c r="D29" s="444"/>
      <c r="E29" s="444"/>
      <c r="F29" s="444"/>
      <c r="G29" s="444"/>
      <c r="H29" s="445" t="s">
        <v>32</v>
      </c>
      <c r="I29" s="444"/>
      <c r="J29" s="444"/>
      <c r="K29" s="444"/>
      <c r="L29" s="446"/>
    </row>
  </sheetData>
  <mergeCells count="20">
    <mergeCell ref="C29:G29"/>
    <mergeCell ref="H29:L29"/>
    <mergeCell ref="F9:G10"/>
    <mergeCell ref="C23:L23"/>
    <mergeCell ref="C25:G25"/>
    <mergeCell ref="H25:L25"/>
    <mergeCell ref="C26:G27"/>
    <mergeCell ref="H26:L27"/>
    <mergeCell ref="C28:G28"/>
    <mergeCell ref="H28:L28"/>
    <mergeCell ref="D10:E10"/>
    <mergeCell ref="D8:E8"/>
    <mergeCell ref="F8:G8"/>
    <mergeCell ref="D9:E9"/>
    <mergeCell ref="B1:L1"/>
    <mergeCell ref="B2:L2"/>
    <mergeCell ref="B3:L3"/>
    <mergeCell ref="C5:H5"/>
    <mergeCell ref="C7:G7"/>
    <mergeCell ref="K7:L7"/>
  </mergeCells>
  <pageMargins left="0.23622047244094491" right="0.23622047244094491" top="1.1417322834645669" bottom="0.74803149606299213" header="0.31496062992125984" footer="0.31496062992125984"/>
  <pageSetup paperSize="9" scale="72" fitToHeight="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pageSetUpPr fitToPage="1"/>
  </sheetPr>
  <dimension ref="B1:L37"/>
  <sheetViews>
    <sheetView view="pageBreakPreview" zoomScaleNormal="100" zoomScaleSheetLayoutView="100" workbookViewId="0">
      <selection activeCell="A8" sqref="A8"/>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128</v>
      </c>
      <c r="J4" s="39"/>
      <c r="K4" s="27"/>
      <c r="L4" s="40" t="s">
        <v>135</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 customHeight="1" x14ac:dyDescent="0.25">
      <c r="B7" s="142" t="s">
        <v>29</v>
      </c>
      <c r="C7" s="428" t="s">
        <v>19</v>
      </c>
      <c r="D7" s="462"/>
      <c r="E7" s="462"/>
      <c r="F7" s="462"/>
      <c r="G7" s="429"/>
      <c r="H7" s="143" t="s">
        <v>21</v>
      </c>
      <c r="I7" s="33" t="s">
        <v>20</v>
      </c>
      <c r="J7" s="47" t="s">
        <v>18</v>
      </c>
      <c r="K7" s="430" t="s">
        <v>17</v>
      </c>
      <c r="L7" s="431"/>
    </row>
    <row r="8" spans="2:12" ht="15.75" customHeight="1" x14ac:dyDescent="0.25">
      <c r="B8" s="100"/>
      <c r="C8" s="539" t="s">
        <v>136</v>
      </c>
      <c r="D8" s="540"/>
      <c r="E8" s="540"/>
      <c r="F8" s="540"/>
      <c r="G8" s="541"/>
      <c r="H8" s="103"/>
      <c r="I8" s="11"/>
      <c r="J8" s="52"/>
      <c r="L8" s="53"/>
    </row>
    <row r="9" spans="2:12" ht="19.5" customHeight="1" x14ac:dyDescent="0.25">
      <c r="B9" s="100"/>
      <c r="C9" s="632"/>
      <c r="D9" s="633"/>
      <c r="E9" s="633"/>
      <c r="F9" s="633"/>
      <c r="G9" s="634"/>
      <c r="H9" s="103"/>
      <c r="I9" s="11"/>
      <c r="J9" s="52"/>
      <c r="L9" s="53"/>
    </row>
    <row r="10" spans="2:12" ht="15.75" customHeight="1" x14ac:dyDescent="0.25">
      <c r="B10" s="100"/>
      <c r="C10" s="60" t="s">
        <v>21</v>
      </c>
      <c r="D10" s="469" t="s">
        <v>41</v>
      </c>
      <c r="E10" s="469"/>
      <c r="F10" s="469" t="s">
        <v>42</v>
      </c>
      <c r="G10" s="469"/>
      <c r="H10" s="225"/>
      <c r="I10" s="227"/>
      <c r="J10" s="228"/>
      <c r="K10" s="229"/>
      <c r="L10" s="230"/>
    </row>
    <row r="11" spans="2:12" ht="25.5" customHeight="1" x14ac:dyDescent="0.25">
      <c r="B11" s="100"/>
      <c r="C11" s="60">
        <v>10</v>
      </c>
      <c r="D11" s="635" t="s">
        <v>109</v>
      </c>
      <c r="E11" s="636"/>
      <c r="F11" s="699" t="s">
        <v>111</v>
      </c>
      <c r="G11" s="700"/>
      <c r="H11" s="60">
        <v>10</v>
      </c>
      <c r="I11" s="227" t="s">
        <v>107</v>
      </c>
      <c r="J11" s="228">
        <v>50</v>
      </c>
      <c r="K11" s="229"/>
      <c r="L11" s="234">
        <f>H11*J11</f>
        <v>500</v>
      </c>
    </row>
    <row r="12" spans="2:12" ht="25.5" customHeight="1" x14ac:dyDescent="0.25">
      <c r="B12" s="100"/>
      <c r="C12" s="64"/>
      <c r="D12" s="235"/>
      <c r="E12" s="235"/>
      <c r="F12" s="242"/>
      <c r="G12" s="153"/>
      <c r="H12" s="243"/>
      <c r="J12" s="169"/>
      <c r="K12" s="59"/>
      <c r="L12" s="158"/>
    </row>
    <row r="13" spans="2:12" ht="30.75" customHeight="1" x14ac:dyDescent="0.25">
      <c r="B13" s="100"/>
      <c r="C13" s="64"/>
      <c r="D13" s="222"/>
      <c r="E13" s="222"/>
      <c r="F13" s="223"/>
      <c r="G13" s="153"/>
      <c r="H13" s="107"/>
      <c r="J13" s="169"/>
      <c r="K13" s="59"/>
      <c r="L13" s="158"/>
    </row>
    <row r="14" spans="2:12" ht="33" customHeight="1" x14ac:dyDescent="0.25">
      <c r="B14" s="100"/>
      <c r="C14" s="428" t="s">
        <v>19</v>
      </c>
      <c r="D14" s="462"/>
      <c r="E14" s="462"/>
      <c r="F14" s="462"/>
      <c r="G14" s="429"/>
      <c r="H14" s="143" t="s">
        <v>21</v>
      </c>
      <c r="I14" s="33" t="s">
        <v>20</v>
      </c>
      <c r="J14" s="47" t="s">
        <v>18</v>
      </c>
      <c r="K14" s="430" t="s">
        <v>17</v>
      </c>
      <c r="L14" s="431"/>
    </row>
    <row r="15" spans="2:12" ht="15.75" customHeight="1" x14ac:dyDescent="0.25">
      <c r="B15" s="100"/>
      <c r="C15" s="539" t="s">
        <v>119</v>
      </c>
      <c r="D15" s="540"/>
      <c r="E15" s="540"/>
      <c r="F15" s="540"/>
      <c r="G15" s="541"/>
      <c r="H15" s="103"/>
      <c r="I15" s="11"/>
      <c r="J15" s="52"/>
      <c r="L15" s="53"/>
    </row>
    <row r="16" spans="2:12" ht="9.75" customHeight="1" x14ac:dyDescent="0.25">
      <c r="B16" s="100"/>
      <c r="C16" s="632"/>
      <c r="D16" s="633"/>
      <c r="E16" s="633"/>
      <c r="F16" s="633"/>
      <c r="G16" s="634"/>
      <c r="H16" s="107"/>
      <c r="J16" s="169"/>
      <c r="K16" s="59"/>
      <c r="L16" s="158"/>
    </row>
    <row r="17" spans="2:12" ht="20.25" customHeight="1" x14ac:dyDescent="0.25">
      <c r="B17" s="100"/>
      <c r="C17" s="60" t="s">
        <v>21</v>
      </c>
      <c r="D17" s="469" t="s">
        <v>41</v>
      </c>
      <c r="E17" s="469"/>
      <c r="F17" s="469" t="s">
        <v>42</v>
      </c>
      <c r="G17" s="469"/>
      <c r="H17" s="231"/>
      <c r="I17" s="232"/>
      <c r="J17" s="233"/>
      <c r="K17" s="229"/>
      <c r="L17" s="234"/>
    </row>
    <row r="18" spans="2:12" ht="21.75" customHeight="1" x14ac:dyDescent="0.25">
      <c r="B18" s="100"/>
      <c r="C18" s="60">
        <v>1</v>
      </c>
      <c r="D18" s="635" t="s">
        <v>115</v>
      </c>
      <c r="E18" s="636"/>
      <c r="F18" s="637" t="s">
        <v>112</v>
      </c>
      <c r="G18" s="698"/>
      <c r="H18" s="60">
        <v>1</v>
      </c>
      <c r="I18" s="227" t="s">
        <v>116</v>
      </c>
      <c r="J18" s="241">
        <v>1200</v>
      </c>
      <c r="K18" s="229"/>
      <c r="L18" s="234">
        <f>H18*J18</f>
        <v>1200</v>
      </c>
    </row>
    <row r="19" spans="2:12" ht="20.25" customHeight="1" x14ac:dyDescent="0.25">
      <c r="B19" s="100"/>
      <c r="C19" s="239"/>
      <c r="D19" s="240"/>
      <c r="E19" s="240"/>
      <c r="F19" s="223"/>
      <c r="G19" s="153"/>
      <c r="H19" s="61"/>
      <c r="I19" s="11"/>
      <c r="J19" s="173"/>
      <c r="K19" s="59"/>
      <c r="L19" s="158"/>
    </row>
    <row r="20" spans="2:12" x14ac:dyDescent="0.25">
      <c r="B20" s="100"/>
      <c r="C20" s="96" t="s">
        <v>33</v>
      </c>
      <c r="D20" s="107"/>
      <c r="E20" s="107"/>
      <c r="F20" s="108"/>
      <c r="G20" s="108"/>
      <c r="H20" s="61"/>
      <c r="I20" s="62"/>
      <c r="J20" s="237"/>
      <c r="K20" s="59"/>
      <c r="L20" s="53"/>
    </row>
    <row r="21" spans="2:12" x14ac:dyDescent="0.25">
      <c r="B21" s="100"/>
      <c r="C21" s="95" t="s">
        <v>34</v>
      </c>
      <c r="D21" s="107"/>
      <c r="E21" s="107"/>
      <c r="F21" s="108"/>
      <c r="G21" s="108"/>
      <c r="H21" s="61"/>
      <c r="I21" s="62"/>
      <c r="J21" s="237"/>
      <c r="K21" s="59"/>
      <c r="L21" s="53"/>
    </row>
    <row r="22" spans="2:12" x14ac:dyDescent="0.25">
      <c r="B22" s="100"/>
      <c r="C22" s="95" t="s">
        <v>35</v>
      </c>
      <c r="D22" s="107"/>
      <c r="E22" s="107"/>
      <c r="F22" s="108"/>
      <c r="G22" s="108"/>
      <c r="H22" s="61"/>
      <c r="I22" s="62"/>
      <c r="J22" s="237"/>
      <c r="K22" s="59"/>
      <c r="L22" s="53"/>
    </row>
    <row r="23" spans="2:12" x14ac:dyDescent="0.25">
      <c r="B23" s="100"/>
      <c r="C23" s="95"/>
      <c r="D23" s="107"/>
      <c r="E23" s="107"/>
      <c r="F23" s="108"/>
      <c r="G23" s="108"/>
      <c r="H23" s="61"/>
      <c r="I23" s="62"/>
      <c r="J23" s="237"/>
      <c r="K23" s="59"/>
      <c r="L23" s="53"/>
    </row>
    <row r="24" spans="2:12" x14ac:dyDescent="0.25">
      <c r="B24" s="100"/>
      <c r="C24" s="96" t="s">
        <v>36</v>
      </c>
      <c r="D24" s="107"/>
      <c r="E24" s="107"/>
      <c r="F24" s="108"/>
      <c r="G24" s="108"/>
      <c r="H24" s="61"/>
      <c r="I24" s="62"/>
      <c r="J24" s="237"/>
      <c r="K24" s="59"/>
      <c r="L24" s="53"/>
    </row>
    <row r="25" spans="2:12" x14ac:dyDescent="0.25">
      <c r="B25" s="100"/>
      <c r="C25" s="95" t="s">
        <v>37</v>
      </c>
      <c r="D25" s="109"/>
      <c r="E25" s="109"/>
      <c r="F25" s="109"/>
      <c r="G25" s="109"/>
      <c r="H25" s="65"/>
      <c r="I25" s="11"/>
      <c r="J25" s="173"/>
      <c r="L25" s="53"/>
    </row>
    <row r="26" spans="2:12" x14ac:dyDescent="0.25">
      <c r="B26" s="100"/>
      <c r="C26" s="95" t="s">
        <v>84</v>
      </c>
      <c r="D26" s="109"/>
      <c r="E26" s="109"/>
      <c r="F26" s="109"/>
      <c r="G26" s="109"/>
      <c r="H26" s="65"/>
      <c r="I26" s="11"/>
      <c r="J26" s="173"/>
      <c r="L26" s="53"/>
    </row>
    <row r="27" spans="2:12" x14ac:dyDescent="0.25">
      <c r="B27" s="100"/>
      <c r="C27" s="95"/>
      <c r="D27" s="109"/>
      <c r="E27" s="109"/>
      <c r="F27" s="109"/>
      <c r="G27" s="109"/>
      <c r="H27" s="65"/>
      <c r="I27" s="11"/>
      <c r="J27" s="173"/>
      <c r="L27" s="53"/>
    </row>
    <row r="28" spans="2:12" x14ac:dyDescent="0.25">
      <c r="B28" s="100"/>
      <c r="C28" s="56" t="s">
        <v>8</v>
      </c>
      <c r="D28" s="104"/>
      <c r="E28" s="104"/>
      <c r="F28" s="104"/>
      <c r="G28" s="104"/>
      <c r="H28" s="57"/>
      <c r="I28" s="11"/>
      <c r="J28" s="174"/>
      <c r="K28" s="24"/>
      <c r="L28" s="53"/>
    </row>
    <row r="29" spans="2:12" x14ac:dyDescent="0.25">
      <c r="B29" s="100"/>
      <c r="C29" s="54" t="s">
        <v>7</v>
      </c>
      <c r="D29" s="102"/>
      <c r="E29" s="102"/>
      <c r="F29" s="102"/>
      <c r="G29" s="102"/>
      <c r="H29" s="55"/>
      <c r="I29" s="11"/>
      <c r="J29" s="174"/>
      <c r="K29" s="24"/>
      <c r="L29" s="53"/>
    </row>
    <row r="30" spans="2:12" x14ac:dyDescent="0.25">
      <c r="B30" s="101"/>
      <c r="C30" s="66"/>
      <c r="D30" s="67"/>
      <c r="E30" s="67"/>
      <c r="F30" s="67"/>
      <c r="G30" s="67"/>
      <c r="H30" s="68"/>
      <c r="I30" s="10"/>
      <c r="J30" s="238" t="s">
        <v>6</v>
      </c>
      <c r="K30" s="72" t="s">
        <v>5</v>
      </c>
      <c r="L30" s="69">
        <f>L11+L18</f>
        <v>1700</v>
      </c>
    </row>
    <row r="31" spans="2:12" ht="30.75" customHeight="1" x14ac:dyDescent="0.25">
      <c r="B31" s="88" t="s">
        <v>4</v>
      </c>
      <c r="C31" s="534" t="s">
        <v>120</v>
      </c>
      <c r="D31" s="535"/>
      <c r="E31" s="535"/>
      <c r="F31" s="535"/>
      <c r="G31" s="535"/>
      <c r="H31" s="535"/>
      <c r="I31" s="535"/>
      <c r="J31" s="535"/>
      <c r="K31" s="535"/>
      <c r="L31" s="536"/>
    </row>
    <row r="32" spans="2:12" x14ac:dyDescent="0.25">
      <c r="B32" s="136"/>
      <c r="C32" s="137"/>
      <c r="D32" s="138"/>
      <c r="E32" s="138"/>
      <c r="F32" s="138"/>
      <c r="G32" s="138"/>
      <c r="H32" s="138"/>
      <c r="I32" s="138"/>
      <c r="J32" s="138"/>
      <c r="K32" s="138"/>
      <c r="L32" s="141"/>
    </row>
    <row r="33" spans="2:12" x14ac:dyDescent="0.25">
      <c r="B33" s="73"/>
      <c r="C33" s="445"/>
      <c r="D33" s="444"/>
      <c r="E33" s="444"/>
      <c r="F33" s="444"/>
      <c r="G33" s="444"/>
      <c r="H33" s="441" t="s">
        <v>3</v>
      </c>
      <c r="I33" s="442"/>
      <c r="J33" s="442"/>
      <c r="K33" s="442"/>
      <c r="L33" s="443"/>
    </row>
    <row r="34" spans="2:12" ht="12.75" customHeight="1" x14ac:dyDescent="0.25">
      <c r="B34" s="25"/>
      <c r="C34" s="450"/>
      <c r="D34" s="480"/>
      <c r="E34" s="480"/>
      <c r="F34" s="480"/>
      <c r="G34" s="451"/>
      <c r="H34" s="454"/>
      <c r="I34" s="455"/>
      <c r="J34" s="455"/>
      <c r="K34" s="455"/>
      <c r="L34" s="456"/>
    </row>
    <row r="35" spans="2:12" ht="9.75" customHeight="1" x14ac:dyDescent="0.25">
      <c r="B35" s="78" t="s">
        <v>2</v>
      </c>
      <c r="C35" s="452"/>
      <c r="D35" s="481"/>
      <c r="E35" s="481"/>
      <c r="F35" s="481"/>
      <c r="G35" s="453"/>
      <c r="H35" s="457"/>
      <c r="I35" s="458"/>
      <c r="J35" s="458"/>
      <c r="K35" s="458"/>
      <c r="L35" s="459"/>
    </row>
    <row r="36" spans="2:12" x14ac:dyDescent="0.25">
      <c r="B36" s="78" t="s">
        <v>1</v>
      </c>
      <c r="C36" s="440" t="s">
        <v>48</v>
      </c>
      <c r="D36" s="440"/>
      <c r="E36" s="440"/>
      <c r="F36" s="440"/>
      <c r="G36" s="440"/>
      <c r="H36" s="441" t="s">
        <v>31</v>
      </c>
      <c r="I36" s="442"/>
      <c r="J36" s="442"/>
      <c r="K36" s="442"/>
      <c r="L36" s="443"/>
    </row>
    <row r="37" spans="2:12" x14ac:dyDescent="0.25">
      <c r="B37" s="83" t="s">
        <v>0</v>
      </c>
      <c r="C37" s="444" t="s">
        <v>121</v>
      </c>
      <c r="D37" s="444"/>
      <c r="E37" s="444"/>
      <c r="F37" s="444"/>
      <c r="G37" s="444"/>
      <c r="H37" s="445" t="s">
        <v>32</v>
      </c>
      <c r="I37" s="444"/>
      <c r="J37" s="444"/>
      <c r="K37" s="444"/>
      <c r="L37" s="446"/>
    </row>
  </sheetData>
  <mergeCells count="27">
    <mergeCell ref="B1:L1"/>
    <mergeCell ref="B2:L2"/>
    <mergeCell ref="B3:L3"/>
    <mergeCell ref="C5:H5"/>
    <mergeCell ref="C7:G7"/>
    <mergeCell ref="K7:L7"/>
    <mergeCell ref="C8:G9"/>
    <mergeCell ref="D10:E10"/>
    <mergeCell ref="F10:G10"/>
    <mergeCell ref="D11:E11"/>
    <mergeCell ref="F11:G11"/>
    <mergeCell ref="K14:L14"/>
    <mergeCell ref="C15:G16"/>
    <mergeCell ref="D17:E17"/>
    <mergeCell ref="F17:G17"/>
    <mergeCell ref="D18:E18"/>
    <mergeCell ref="F18:G18"/>
    <mergeCell ref="C14:G14"/>
    <mergeCell ref="C37:G37"/>
    <mergeCell ref="H37:L37"/>
    <mergeCell ref="C31:L31"/>
    <mergeCell ref="C33:G33"/>
    <mergeCell ref="H33:L33"/>
    <mergeCell ref="C34:G35"/>
    <mergeCell ref="H34:L35"/>
    <mergeCell ref="C36:G36"/>
    <mergeCell ref="H36:L36"/>
  </mergeCells>
  <hyperlinks>
    <hyperlink ref="F18" r:id="rId1" xr:uid="{00000000-0004-0000-17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pageSetUpPr fitToPage="1"/>
  </sheetPr>
  <dimension ref="B1:L34"/>
  <sheetViews>
    <sheetView view="pageBreakPreview" zoomScaleNormal="100" zoomScaleSheetLayoutView="100" workbookViewId="0">
      <selection activeCell="B3" sqref="B3:L3"/>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105</v>
      </c>
      <c r="J4" s="39"/>
      <c r="K4" s="27"/>
      <c r="L4" s="40" t="s">
        <v>106</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00"/>
      <c r="C7" s="428" t="s">
        <v>19</v>
      </c>
      <c r="D7" s="462"/>
      <c r="E7" s="462"/>
      <c r="F7" s="462"/>
      <c r="G7" s="429"/>
      <c r="H7" s="143" t="s">
        <v>21</v>
      </c>
      <c r="I7" s="33" t="s">
        <v>20</v>
      </c>
      <c r="J7" s="47" t="s">
        <v>18</v>
      </c>
      <c r="K7" s="430" t="s">
        <v>17</v>
      </c>
      <c r="L7" s="431"/>
    </row>
    <row r="8" spans="2:12" ht="20.25" customHeight="1" x14ac:dyDescent="0.25">
      <c r="B8" s="100"/>
      <c r="C8" s="539" t="s">
        <v>117</v>
      </c>
      <c r="D8" s="540"/>
      <c r="E8" s="540"/>
      <c r="F8" s="540"/>
      <c r="G8" s="541"/>
      <c r="H8" s="103"/>
      <c r="I8" s="11"/>
      <c r="J8" s="52"/>
      <c r="L8" s="53"/>
    </row>
    <row r="9" spans="2:12" ht="12.75" customHeight="1" x14ac:dyDescent="0.25">
      <c r="B9" s="100"/>
      <c r="C9" s="632"/>
      <c r="D9" s="633"/>
      <c r="E9" s="633"/>
      <c r="F9" s="633"/>
      <c r="G9" s="634"/>
      <c r="H9" s="107"/>
      <c r="J9" s="169"/>
      <c r="K9" s="59"/>
      <c r="L9" s="158"/>
    </row>
    <row r="10" spans="2:12" ht="18.75" customHeight="1" x14ac:dyDescent="0.25">
      <c r="B10" s="100"/>
      <c r="C10" s="60" t="s">
        <v>21</v>
      </c>
      <c r="D10" s="469" t="s">
        <v>41</v>
      </c>
      <c r="E10" s="469"/>
      <c r="F10" s="469" t="s">
        <v>42</v>
      </c>
      <c r="G10" s="469"/>
      <c r="H10" s="231"/>
      <c r="I10" s="232"/>
      <c r="J10" s="233"/>
      <c r="K10" s="229"/>
      <c r="L10" s="234"/>
    </row>
    <row r="11" spans="2:12" ht="30.75" customHeight="1" x14ac:dyDescent="0.25">
      <c r="B11" s="100"/>
      <c r="C11" s="60">
        <v>16</v>
      </c>
      <c r="D11" s="635" t="s">
        <v>110</v>
      </c>
      <c r="E11" s="636"/>
      <c r="F11" s="637" t="s">
        <v>112</v>
      </c>
      <c r="G11" s="638"/>
      <c r="H11" s="224">
        <v>16</v>
      </c>
      <c r="I11" s="12" t="s">
        <v>53</v>
      </c>
      <c r="J11" s="236">
        <v>1200</v>
      </c>
      <c r="K11" s="59"/>
      <c r="L11" s="158">
        <f>H11*J11</f>
        <v>19200</v>
      </c>
    </row>
    <row r="12" spans="2:12" ht="30.75" customHeight="1" x14ac:dyDescent="0.25">
      <c r="B12" s="100"/>
      <c r="C12" s="64"/>
      <c r="D12" s="235"/>
      <c r="E12" s="235"/>
      <c r="F12" s="223"/>
      <c r="G12" s="107"/>
      <c r="H12" s="36"/>
      <c r="I12" s="11"/>
      <c r="J12" s="173"/>
      <c r="K12" s="59"/>
      <c r="L12" s="226"/>
    </row>
    <row r="13" spans="2:12" ht="16.5" customHeight="1" x14ac:dyDescent="0.25">
      <c r="B13" s="100"/>
      <c r="C13" s="628" t="s">
        <v>113</v>
      </c>
      <c r="D13" s="629"/>
      <c r="E13" s="235"/>
      <c r="F13" s="223"/>
      <c r="G13" s="107"/>
      <c r="H13" s="36"/>
      <c r="I13" s="11"/>
      <c r="J13" s="173"/>
      <c r="K13" s="59"/>
      <c r="L13" s="226"/>
    </row>
    <row r="14" spans="2:12" ht="20.25" customHeight="1" x14ac:dyDescent="0.25">
      <c r="B14" s="100"/>
      <c r="C14" s="639" t="s">
        <v>114</v>
      </c>
      <c r="D14" s="640"/>
      <c r="E14" s="640"/>
      <c r="F14" s="223"/>
      <c r="G14" s="153"/>
      <c r="H14" s="61"/>
      <c r="I14" s="11"/>
      <c r="J14" s="173"/>
      <c r="K14" s="59"/>
      <c r="L14" s="158"/>
    </row>
    <row r="15" spans="2:12" ht="20.25" customHeight="1" x14ac:dyDescent="0.25">
      <c r="B15" s="100"/>
      <c r="C15" s="239"/>
      <c r="D15" s="240"/>
      <c r="E15" s="240"/>
      <c r="F15" s="223"/>
      <c r="G15" s="153"/>
      <c r="H15" s="61"/>
      <c r="I15" s="11"/>
      <c r="J15" s="173"/>
      <c r="K15" s="59"/>
      <c r="L15" s="158"/>
    </row>
    <row r="16" spans="2:12" ht="20.25" customHeight="1" x14ac:dyDescent="0.25">
      <c r="B16" s="100"/>
      <c r="C16" s="239"/>
      <c r="D16" s="240"/>
      <c r="E16" s="240"/>
      <c r="F16" s="223"/>
      <c r="G16" s="153"/>
      <c r="H16" s="61"/>
      <c r="I16" s="11"/>
      <c r="J16" s="173"/>
      <c r="K16" s="59"/>
      <c r="L16" s="158"/>
    </row>
    <row r="17" spans="2:12" x14ac:dyDescent="0.25">
      <c r="B17" s="100"/>
      <c r="C17" s="96" t="s">
        <v>33</v>
      </c>
      <c r="D17" s="107"/>
      <c r="E17" s="107"/>
      <c r="F17" s="108"/>
      <c r="G17" s="108"/>
      <c r="H17" s="61"/>
      <c r="I17" s="62"/>
      <c r="J17" s="237"/>
      <c r="K17" s="59"/>
      <c r="L17" s="53"/>
    </row>
    <row r="18" spans="2:12" x14ac:dyDescent="0.25">
      <c r="B18" s="100"/>
      <c r="C18" s="95" t="s">
        <v>34</v>
      </c>
      <c r="D18" s="107"/>
      <c r="E18" s="107"/>
      <c r="F18" s="108"/>
      <c r="G18" s="108"/>
      <c r="H18" s="61"/>
      <c r="I18" s="62"/>
      <c r="J18" s="237"/>
      <c r="K18" s="59"/>
      <c r="L18" s="53"/>
    </row>
    <row r="19" spans="2:12" x14ac:dyDescent="0.25">
      <c r="B19" s="100"/>
      <c r="C19" s="95" t="s">
        <v>35</v>
      </c>
      <c r="D19" s="107"/>
      <c r="E19" s="107"/>
      <c r="F19" s="108"/>
      <c r="G19" s="108"/>
      <c r="H19" s="61"/>
      <c r="I19" s="62"/>
      <c r="J19" s="237"/>
      <c r="K19" s="59"/>
      <c r="L19" s="53"/>
    </row>
    <row r="20" spans="2:12" x14ac:dyDescent="0.25">
      <c r="B20" s="100"/>
      <c r="C20" s="95"/>
      <c r="D20" s="107"/>
      <c r="E20" s="107"/>
      <c r="F20" s="108"/>
      <c r="G20" s="108"/>
      <c r="H20" s="61"/>
      <c r="I20" s="62"/>
      <c r="J20" s="237"/>
      <c r="K20" s="59"/>
      <c r="L20" s="53"/>
    </row>
    <row r="21" spans="2:12" x14ac:dyDescent="0.25">
      <c r="B21" s="100"/>
      <c r="C21" s="96" t="s">
        <v>36</v>
      </c>
      <c r="D21" s="107"/>
      <c r="E21" s="107"/>
      <c r="F21" s="108"/>
      <c r="G21" s="108"/>
      <c r="H21" s="61"/>
      <c r="I21" s="62"/>
      <c r="J21" s="237"/>
      <c r="K21" s="59"/>
      <c r="L21" s="53"/>
    </row>
    <row r="22" spans="2:12" x14ac:dyDescent="0.25">
      <c r="B22" s="100"/>
      <c r="C22" s="95" t="s">
        <v>37</v>
      </c>
      <c r="D22" s="109"/>
      <c r="E22" s="109"/>
      <c r="F22" s="109"/>
      <c r="G22" s="109"/>
      <c r="H22" s="65"/>
      <c r="I22" s="11"/>
      <c r="J22" s="173"/>
      <c r="L22" s="53"/>
    </row>
    <row r="23" spans="2:12" x14ac:dyDescent="0.25">
      <c r="B23" s="100"/>
      <c r="C23" s="95" t="s">
        <v>84</v>
      </c>
      <c r="D23" s="109"/>
      <c r="E23" s="109"/>
      <c r="F23" s="109"/>
      <c r="G23" s="109"/>
      <c r="H23" s="65"/>
      <c r="I23" s="11"/>
      <c r="J23" s="173"/>
      <c r="L23" s="53"/>
    </row>
    <row r="24" spans="2:12" x14ac:dyDescent="0.25">
      <c r="B24" s="100"/>
      <c r="C24" s="95"/>
      <c r="D24" s="109"/>
      <c r="E24" s="109"/>
      <c r="F24" s="109"/>
      <c r="G24" s="109"/>
      <c r="H24" s="65"/>
      <c r="I24" s="11"/>
      <c r="J24" s="173"/>
      <c r="L24" s="53"/>
    </row>
    <row r="25" spans="2:12" x14ac:dyDescent="0.25">
      <c r="B25" s="100"/>
      <c r="C25" s="56" t="s">
        <v>8</v>
      </c>
      <c r="D25" s="104"/>
      <c r="E25" s="104"/>
      <c r="F25" s="104"/>
      <c r="G25" s="104"/>
      <c r="H25" s="57"/>
      <c r="I25" s="11"/>
      <c r="J25" s="174"/>
      <c r="K25" s="24"/>
      <c r="L25" s="53"/>
    </row>
    <row r="26" spans="2:12" x14ac:dyDescent="0.25">
      <c r="B26" s="100"/>
      <c r="C26" s="54" t="s">
        <v>7</v>
      </c>
      <c r="D26" s="102"/>
      <c r="E26" s="102"/>
      <c r="F26" s="102"/>
      <c r="G26" s="102"/>
      <c r="H26" s="55"/>
      <c r="I26" s="11"/>
      <c r="J26" s="174"/>
      <c r="K26" s="24"/>
      <c r="L26" s="53"/>
    </row>
    <row r="27" spans="2:12" x14ac:dyDescent="0.25">
      <c r="B27" s="101"/>
      <c r="C27" s="66"/>
      <c r="D27" s="67"/>
      <c r="E27" s="67"/>
      <c r="F27" s="67"/>
      <c r="G27" s="67"/>
      <c r="H27" s="68"/>
      <c r="I27" s="10"/>
      <c r="J27" s="238" t="s">
        <v>6</v>
      </c>
      <c r="K27" s="72" t="s">
        <v>5</v>
      </c>
      <c r="L27" s="69">
        <f>L11</f>
        <v>19200</v>
      </c>
    </row>
    <row r="28" spans="2:12" ht="21" customHeight="1" x14ac:dyDescent="0.25">
      <c r="B28" s="88" t="s">
        <v>4</v>
      </c>
      <c r="C28" s="534" t="s">
        <v>118</v>
      </c>
      <c r="D28" s="535"/>
      <c r="E28" s="535"/>
      <c r="F28" s="535"/>
      <c r="G28" s="535"/>
      <c r="H28" s="535"/>
      <c r="I28" s="535"/>
      <c r="J28" s="535"/>
      <c r="K28" s="535"/>
      <c r="L28" s="536"/>
    </row>
    <row r="29" spans="2:12" x14ac:dyDescent="0.25">
      <c r="B29" s="136"/>
      <c r="C29" s="137"/>
      <c r="D29" s="138"/>
      <c r="E29" s="138"/>
      <c r="F29" s="138"/>
      <c r="G29" s="138"/>
      <c r="H29" s="138"/>
      <c r="I29" s="138"/>
      <c r="J29" s="138"/>
      <c r="K29" s="138"/>
      <c r="L29" s="141"/>
    </row>
    <row r="30" spans="2:12" x14ac:dyDescent="0.25">
      <c r="B30" s="73"/>
      <c r="C30" s="445"/>
      <c r="D30" s="444"/>
      <c r="E30" s="444"/>
      <c r="F30" s="444"/>
      <c r="G30" s="444"/>
      <c r="H30" s="441" t="s">
        <v>3</v>
      </c>
      <c r="I30" s="442"/>
      <c r="J30" s="442"/>
      <c r="K30" s="442"/>
      <c r="L30" s="443"/>
    </row>
    <row r="31" spans="2:12" ht="12.75" customHeight="1" x14ac:dyDescent="0.25">
      <c r="B31" s="25"/>
      <c r="C31" s="450"/>
      <c r="D31" s="480"/>
      <c r="E31" s="480"/>
      <c r="F31" s="480"/>
      <c r="G31" s="451"/>
      <c r="H31" s="454"/>
      <c r="I31" s="455"/>
      <c r="J31" s="455"/>
      <c r="K31" s="455"/>
      <c r="L31" s="456"/>
    </row>
    <row r="32" spans="2:12" ht="9.75" customHeight="1" x14ac:dyDescent="0.25">
      <c r="B32" s="78" t="s">
        <v>2</v>
      </c>
      <c r="C32" s="452"/>
      <c r="D32" s="481"/>
      <c r="E32" s="481"/>
      <c r="F32" s="481"/>
      <c r="G32" s="453"/>
      <c r="H32" s="457"/>
      <c r="I32" s="458"/>
      <c r="J32" s="458"/>
      <c r="K32" s="458"/>
      <c r="L32" s="459"/>
    </row>
    <row r="33" spans="2:12" x14ac:dyDescent="0.25">
      <c r="B33" s="78" t="s">
        <v>1</v>
      </c>
      <c r="C33" s="440" t="s">
        <v>48</v>
      </c>
      <c r="D33" s="440"/>
      <c r="E33" s="440"/>
      <c r="F33" s="440"/>
      <c r="G33" s="440"/>
      <c r="H33" s="441" t="s">
        <v>31</v>
      </c>
      <c r="I33" s="442"/>
      <c r="J33" s="442"/>
      <c r="K33" s="442"/>
      <c r="L33" s="443"/>
    </row>
    <row r="34" spans="2:12" x14ac:dyDescent="0.25">
      <c r="B34" s="83" t="s">
        <v>0</v>
      </c>
      <c r="C34" s="444" t="s">
        <v>121</v>
      </c>
      <c r="D34" s="444"/>
      <c r="E34" s="444"/>
      <c r="F34" s="444"/>
      <c r="G34" s="444"/>
      <c r="H34" s="445" t="s">
        <v>32</v>
      </c>
      <c r="I34" s="444"/>
      <c r="J34" s="444"/>
      <c r="K34" s="444"/>
      <c r="L34" s="446"/>
    </row>
  </sheetData>
  <mergeCells count="22">
    <mergeCell ref="C33:G33"/>
    <mergeCell ref="H33:L33"/>
    <mergeCell ref="C34:G34"/>
    <mergeCell ref="H34:L34"/>
    <mergeCell ref="C28:L28"/>
    <mergeCell ref="C30:G30"/>
    <mergeCell ref="H30:L30"/>
    <mergeCell ref="C31:G32"/>
    <mergeCell ref="H31:L32"/>
    <mergeCell ref="C14:E14"/>
    <mergeCell ref="K7:L7"/>
    <mergeCell ref="C8:G9"/>
    <mergeCell ref="D10:E10"/>
    <mergeCell ref="F10:G10"/>
    <mergeCell ref="D11:E11"/>
    <mergeCell ref="F11:G11"/>
    <mergeCell ref="C7:G7"/>
    <mergeCell ref="B1:L1"/>
    <mergeCell ref="B2:L2"/>
    <mergeCell ref="B3:L3"/>
    <mergeCell ref="C5:H5"/>
    <mergeCell ref="C13:D13"/>
  </mergeCells>
  <hyperlinks>
    <hyperlink ref="F11" r:id="rId1" xr:uid="{00000000-0004-0000-18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pageSetUpPr fitToPage="1"/>
  </sheetPr>
  <dimension ref="B1:L34"/>
  <sheetViews>
    <sheetView view="pageBreakPreview" topLeftCell="A6" zoomScaleNormal="100" zoomScaleSheetLayoutView="100" workbookViewId="0">
      <selection activeCell="C7" sqref="C7:L27"/>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78.75" customHeight="1" x14ac:dyDescent="0.4">
      <c r="B3" s="424" t="s">
        <v>56</v>
      </c>
      <c r="C3" s="425"/>
      <c r="D3" s="425"/>
      <c r="E3" s="425"/>
      <c r="F3" s="425"/>
      <c r="G3" s="425"/>
      <c r="H3" s="425"/>
      <c r="I3" s="425"/>
      <c r="J3" s="425"/>
      <c r="K3" s="425"/>
      <c r="L3" s="425"/>
    </row>
    <row r="4" spans="2:12" x14ac:dyDescent="0.25">
      <c r="B4" s="31"/>
      <c r="C4" s="30"/>
      <c r="D4" s="38"/>
      <c r="E4" s="38"/>
      <c r="F4" s="38"/>
      <c r="G4" s="38"/>
      <c r="H4" s="38"/>
      <c r="I4" s="29" t="s">
        <v>185</v>
      </c>
      <c r="J4" s="39"/>
      <c r="K4" s="27"/>
      <c r="L4" s="292" t="s">
        <v>186</v>
      </c>
    </row>
    <row r="5" spans="2:12" x14ac:dyDescent="0.25">
      <c r="B5" s="25" t="s">
        <v>26</v>
      </c>
      <c r="C5" s="427" t="s">
        <v>30</v>
      </c>
      <c r="D5" s="427"/>
      <c r="E5" s="427"/>
      <c r="F5" s="427"/>
      <c r="G5" s="427"/>
      <c r="H5" s="427"/>
      <c r="I5" s="24" t="s">
        <v>25</v>
      </c>
      <c r="L5" s="42" t="s">
        <v>22</v>
      </c>
    </row>
    <row r="6" spans="2:12" x14ac:dyDescent="0.25">
      <c r="B6" s="22" t="s">
        <v>24</v>
      </c>
      <c r="C6" s="72" t="s">
        <v>47</v>
      </c>
      <c r="D6" s="71"/>
      <c r="E6" s="71"/>
      <c r="F6" s="71"/>
      <c r="G6" s="71"/>
      <c r="H6" s="71"/>
      <c r="I6" s="20" t="s">
        <v>23</v>
      </c>
      <c r="J6" s="43"/>
      <c r="K6" s="13"/>
      <c r="L6" s="44" t="s">
        <v>22</v>
      </c>
    </row>
    <row r="7" spans="2:12" ht="30.75" customHeight="1" x14ac:dyDescent="0.25">
      <c r="B7" s="100"/>
      <c r="C7" s="428" t="s">
        <v>19</v>
      </c>
      <c r="D7" s="462"/>
      <c r="E7" s="462"/>
      <c r="F7" s="462"/>
      <c r="G7" s="429"/>
      <c r="H7" s="143" t="s">
        <v>21</v>
      </c>
      <c r="I7" s="33" t="s">
        <v>20</v>
      </c>
      <c r="J7" s="47" t="s">
        <v>18</v>
      </c>
      <c r="K7" s="430" t="s">
        <v>17</v>
      </c>
      <c r="L7" s="431"/>
    </row>
    <row r="8" spans="2:12" ht="20.25" customHeight="1" x14ac:dyDescent="0.25">
      <c r="B8" s="100"/>
      <c r="C8" s="539" t="s">
        <v>187</v>
      </c>
      <c r="D8" s="540"/>
      <c r="E8" s="540"/>
      <c r="F8" s="540"/>
      <c r="G8" s="541"/>
      <c r="H8" s="103"/>
      <c r="I8" s="11"/>
      <c r="J8" s="52"/>
      <c r="L8" s="53"/>
    </row>
    <row r="9" spans="2:12" ht="16.5" customHeight="1" x14ac:dyDescent="0.25">
      <c r="B9" s="100"/>
      <c r="C9" s="632"/>
      <c r="D9" s="633"/>
      <c r="E9" s="633"/>
      <c r="F9" s="633"/>
      <c r="G9" s="634"/>
      <c r="H9" s="107"/>
      <c r="J9" s="169"/>
      <c r="K9" s="59"/>
      <c r="L9" s="158"/>
    </row>
    <row r="10" spans="2:12" ht="18.75" customHeight="1" x14ac:dyDescent="0.25">
      <c r="B10" s="100"/>
      <c r="C10" s="60" t="s">
        <v>21</v>
      </c>
      <c r="D10" s="469" t="s">
        <v>41</v>
      </c>
      <c r="E10" s="469"/>
      <c r="F10" s="469" t="s">
        <v>42</v>
      </c>
      <c r="G10" s="469"/>
      <c r="H10" s="231"/>
      <c r="I10" s="232"/>
      <c r="J10" s="233"/>
      <c r="K10" s="229"/>
      <c r="L10" s="234"/>
    </row>
    <row r="11" spans="2:12" ht="30.75" customHeight="1" x14ac:dyDescent="0.25">
      <c r="B11" s="100"/>
      <c r="C11" s="60">
        <v>43</v>
      </c>
      <c r="D11" s="635" t="s">
        <v>188</v>
      </c>
      <c r="E11" s="636"/>
      <c r="F11" s="637">
        <v>44995</v>
      </c>
      <c r="G11" s="638"/>
      <c r="H11" s="224">
        <v>43</v>
      </c>
      <c r="I11" s="12" t="s">
        <v>53</v>
      </c>
      <c r="J11" s="236">
        <v>1100</v>
      </c>
      <c r="K11" s="59"/>
      <c r="L11" s="158">
        <f>H11*J11</f>
        <v>47300</v>
      </c>
    </row>
    <row r="12" spans="2:12" ht="30.75" customHeight="1" x14ac:dyDescent="0.25">
      <c r="B12" s="100"/>
      <c r="C12" s="64"/>
      <c r="D12" s="235"/>
      <c r="E12" s="235"/>
      <c r="F12" s="223"/>
      <c r="G12" s="107"/>
      <c r="H12" s="36"/>
      <c r="I12" s="11"/>
      <c r="J12" s="173"/>
      <c r="K12" s="59"/>
      <c r="L12" s="226"/>
    </row>
    <row r="13" spans="2:12" ht="16.5" customHeight="1" x14ac:dyDescent="0.25">
      <c r="B13" s="100"/>
      <c r="C13" s="628" t="s">
        <v>113</v>
      </c>
      <c r="D13" s="629"/>
      <c r="E13" s="235"/>
      <c r="F13" s="223"/>
      <c r="G13" s="107"/>
      <c r="H13" s="36"/>
      <c r="I13" s="11"/>
      <c r="J13" s="173"/>
      <c r="K13" s="59"/>
      <c r="L13" s="226"/>
    </row>
    <row r="14" spans="2:12" ht="20.25" customHeight="1" x14ac:dyDescent="0.25">
      <c r="B14" s="100"/>
      <c r="C14" s="639" t="s">
        <v>114</v>
      </c>
      <c r="D14" s="640"/>
      <c r="E14" s="640"/>
      <c r="F14" s="223"/>
      <c r="G14" s="153"/>
      <c r="H14" s="61"/>
      <c r="I14" s="11"/>
      <c r="J14" s="173"/>
      <c r="K14" s="59"/>
      <c r="L14" s="158"/>
    </row>
    <row r="15" spans="2:12" ht="20.25" customHeight="1" x14ac:dyDescent="0.25">
      <c r="B15" s="100"/>
      <c r="C15" s="239" t="s">
        <v>189</v>
      </c>
      <c r="D15" s="240"/>
      <c r="E15" s="240"/>
      <c r="F15" s="223"/>
      <c r="G15" s="153"/>
      <c r="H15" s="61"/>
      <c r="I15" s="11"/>
      <c r="J15" s="173"/>
      <c r="K15" s="59"/>
      <c r="L15" s="158"/>
    </row>
    <row r="16" spans="2:12" ht="20.25" customHeight="1" x14ac:dyDescent="0.25">
      <c r="B16" s="100"/>
      <c r="C16" s="239"/>
      <c r="D16" s="240"/>
      <c r="E16" s="240"/>
      <c r="F16" s="223"/>
      <c r="G16" s="153"/>
      <c r="H16" s="61"/>
      <c r="I16" s="11"/>
      <c r="J16" s="173"/>
      <c r="K16" s="59"/>
      <c r="L16" s="158"/>
    </row>
    <row r="17" spans="2:12" x14ac:dyDescent="0.25">
      <c r="B17" s="100"/>
      <c r="C17" s="96" t="s">
        <v>33</v>
      </c>
      <c r="D17" s="107"/>
      <c r="E17" s="107"/>
      <c r="F17" s="108"/>
      <c r="G17" s="108"/>
      <c r="H17" s="61"/>
      <c r="I17" s="62"/>
      <c r="J17" s="237"/>
      <c r="K17" s="59"/>
      <c r="L17" s="53"/>
    </row>
    <row r="18" spans="2:12" x14ac:dyDescent="0.25">
      <c r="B18" s="100"/>
      <c r="C18" s="95" t="s">
        <v>34</v>
      </c>
      <c r="D18" s="107"/>
      <c r="E18" s="107"/>
      <c r="F18" s="108"/>
      <c r="G18" s="108"/>
      <c r="H18" s="61"/>
      <c r="I18" s="62"/>
      <c r="J18" s="237"/>
      <c r="K18" s="59"/>
      <c r="L18" s="53"/>
    </row>
    <row r="19" spans="2:12" x14ac:dyDescent="0.25">
      <c r="B19" s="100"/>
      <c r="C19" s="95" t="s">
        <v>35</v>
      </c>
      <c r="D19" s="107"/>
      <c r="E19" s="107"/>
      <c r="F19" s="108"/>
      <c r="G19" s="108"/>
      <c r="H19" s="61"/>
      <c r="I19" s="62"/>
      <c r="J19" s="237"/>
      <c r="K19" s="59"/>
      <c r="L19" s="53"/>
    </row>
    <row r="20" spans="2:12" x14ac:dyDescent="0.25">
      <c r="B20" s="100"/>
      <c r="C20" s="95"/>
      <c r="D20" s="107"/>
      <c r="E20" s="107"/>
      <c r="F20" s="108"/>
      <c r="G20" s="108"/>
      <c r="H20" s="61"/>
      <c r="I20" s="62"/>
      <c r="J20" s="237"/>
      <c r="K20" s="59"/>
      <c r="L20" s="53"/>
    </row>
    <row r="21" spans="2:12" x14ac:dyDescent="0.25">
      <c r="B21" s="100"/>
      <c r="C21" s="96" t="s">
        <v>36</v>
      </c>
      <c r="D21" s="107"/>
      <c r="E21" s="107"/>
      <c r="F21" s="108"/>
      <c r="G21" s="108"/>
      <c r="H21" s="61"/>
      <c r="I21" s="62"/>
      <c r="J21" s="237"/>
      <c r="K21" s="59"/>
      <c r="L21" s="53"/>
    </row>
    <row r="22" spans="2:12" x14ac:dyDescent="0.25">
      <c r="B22" s="100"/>
      <c r="C22" s="95" t="s">
        <v>37</v>
      </c>
      <c r="D22" s="109"/>
      <c r="E22" s="109"/>
      <c r="F22" s="109"/>
      <c r="G22" s="109"/>
      <c r="H22" s="65"/>
      <c r="I22" s="11"/>
      <c r="J22" s="173"/>
      <c r="L22" s="53"/>
    </row>
    <row r="23" spans="2:12" x14ac:dyDescent="0.25">
      <c r="B23" s="100"/>
      <c r="C23" s="95" t="s">
        <v>84</v>
      </c>
      <c r="D23" s="109"/>
      <c r="E23" s="109"/>
      <c r="F23" s="109"/>
      <c r="G23" s="109"/>
      <c r="H23" s="65"/>
      <c r="I23" s="11"/>
      <c r="J23" s="173"/>
      <c r="L23" s="53"/>
    </row>
    <row r="24" spans="2:12" x14ac:dyDescent="0.25">
      <c r="B24" s="100"/>
      <c r="C24" s="95"/>
      <c r="D24" s="109"/>
      <c r="E24" s="109"/>
      <c r="F24" s="109"/>
      <c r="G24" s="109"/>
      <c r="H24" s="65"/>
      <c r="I24" s="11"/>
      <c r="J24" s="173"/>
      <c r="L24" s="53"/>
    </row>
    <row r="25" spans="2:12" x14ac:dyDescent="0.25">
      <c r="B25" s="100"/>
      <c r="C25" s="56" t="s">
        <v>8</v>
      </c>
      <c r="D25" s="104"/>
      <c r="E25" s="104"/>
      <c r="F25" s="104"/>
      <c r="G25" s="104"/>
      <c r="H25" s="57"/>
      <c r="I25" s="11"/>
      <c r="J25" s="174"/>
      <c r="K25" s="24"/>
      <c r="L25" s="53"/>
    </row>
    <row r="26" spans="2:12" x14ac:dyDescent="0.25">
      <c r="B26" s="100"/>
      <c r="C26" s="54" t="s">
        <v>7</v>
      </c>
      <c r="D26" s="102"/>
      <c r="E26" s="102"/>
      <c r="F26" s="102"/>
      <c r="G26" s="102"/>
      <c r="H26" s="55"/>
      <c r="I26" s="11"/>
      <c r="J26" s="174"/>
      <c r="K26" s="24"/>
      <c r="L26" s="53"/>
    </row>
    <row r="27" spans="2:12" x14ac:dyDescent="0.25">
      <c r="B27" s="101"/>
      <c r="C27" s="66"/>
      <c r="D27" s="67"/>
      <c r="E27" s="67"/>
      <c r="F27" s="67"/>
      <c r="G27" s="67"/>
      <c r="H27" s="68"/>
      <c r="I27" s="10"/>
      <c r="J27" s="238" t="s">
        <v>6</v>
      </c>
      <c r="K27" s="72" t="s">
        <v>5</v>
      </c>
      <c r="L27" s="69">
        <f>L11</f>
        <v>47300</v>
      </c>
    </row>
    <row r="28" spans="2:12" ht="34.5" customHeight="1" x14ac:dyDescent="0.25">
      <c r="B28" s="88" t="s">
        <v>4</v>
      </c>
      <c r="C28" s="534" t="s">
        <v>187</v>
      </c>
      <c r="D28" s="535"/>
      <c r="E28" s="535"/>
      <c r="F28" s="535"/>
      <c r="G28" s="535"/>
      <c r="H28" s="535"/>
      <c r="I28" s="535"/>
      <c r="J28" s="535"/>
      <c r="K28" s="535"/>
      <c r="L28" s="536"/>
    </row>
    <row r="29" spans="2:12" x14ac:dyDescent="0.25">
      <c r="B29" s="136"/>
      <c r="C29" s="137"/>
      <c r="D29" s="138"/>
      <c r="E29" s="138"/>
      <c r="F29" s="138"/>
      <c r="G29" s="138"/>
      <c r="H29" s="138"/>
      <c r="I29" s="138"/>
      <c r="J29" s="138"/>
      <c r="K29" s="138"/>
      <c r="L29" s="141"/>
    </row>
    <row r="30" spans="2:12" x14ac:dyDescent="0.25">
      <c r="B30" s="73"/>
      <c r="C30" s="445"/>
      <c r="D30" s="444"/>
      <c r="E30" s="444"/>
      <c r="F30" s="444"/>
      <c r="G30" s="444"/>
      <c r="H30" s="441" t="s">
        <v>3</v>
      </c>
      <c r="I30" s="442"/>
      <c r="J30" s="442"/>
      <c r="K30" s="442"/>
      <c r="L30" s="443"/>
    </row>
    <row r="31" spans="2:12" ht="12.75" customHeight="1" x14ac:dyDescent="0.25">
      <c r="B31" s="25"/>
      <c r="C31" s="450"/>
      <c r="D31" s="480"/>
      <c r="E31" s="480"/>
      <c r="F31" s="480"/>
      <c r="G31" s="451"/>
      <c r="H31" s="454"/>
      <c r="I31" s="455"/>
      <c r="J31" s="455"/>
      <c r="K31" s="455"/>
      <c r="L31" s="456"/>
    </row>
    <row r="32" spans="2:12" ht="9.75" customHeight="1" x14ac:dyDescent="0.25">
      <c r="B32" s="78" t="s">
        <v>2</v>
      </c>
      <c r="C32" s="452"/>
      <c r="D32" s="481"/>
      <c r="E32" s="481"/>
      <c r="F32" s="481"/>
      <c r="G32" s="453"/>
      <c r="H32" s="457"/>
      <c r="I32" s="458"/>
      <c r="J32" s="458"/>
      <c r="K32" s="458"/>
      <c r="L32" s="459"/>
    </row>
    <row r="33" spans="2:12" x14ac:dyDescent="0.25">
      <c r="B33" s="78" t="s">
        <v>1</v>
      </c>
      <c r="C33" s="440" t="s">
        <v>48</v>
      </c>
      <c r="D33" s="440"/>
      <c r="E33" s="440"/>
      <c r="F33" s="440"/>
      <c r="G33" s="440"/>
      <c r="H33" s="441" t="s">
        <v>31</v>
      </c>
      <c r="I33" s="442"/>
      <c r="J33" s="442"/>
      <c r="K33" s="442"/>
      <c r="L33" s="443"/>
    </row>
    <row r="34" spans="2:12" x14ac:dyDescent="0.25">
      <c r="B34" s="83" t="s">
        <v>0</v>
      </c>
      <c r="C34" s="444" t="s">
        <v>121</v>
      </c>
      <c r="D34" s="444"/>
      <c r="E34" s="444"/>
      <c r="F34" s="444"/>
      <c r="G34" s="444"/>
      <c r="H34" s="445" t="s">
        <v>32</v>
      </c>
      <c r="I34" s="444"/>
      <c r="J34" s="444"/>
      <c r="K34" s="444"/>
      <c r="L34" s="446"/>
    </row>
  </sheetData>
  <mergeCells count="22">
    <mergeCell ref="C13:D13"/>
    <mergeCell ref="B1:L1"/>
    <mergeCell ref="B2:L2"/>
    <mergeCell ref="B3:L3"/>
    <mergeCell ref="C5:H5"/>
    <mergeCell ref="C7:G7"/>
    <mergeCell ref="K7:L7"/>
    <mergeCell ref="C8:G9"/>
    <mergeCell ref="D10:E10"/>
    <mergeCell ref="F10:G10"/>
    <mergeCell ref="D11:E11"/>
    <mergeCell ref="F11:G11"/>
    <mergeCell ref="C33:G33"/>
    <mergeCell ref="H33:L33"/>
    <mergeCell ref="C34:G34"/>
    <mergeCell ref="H34:L34"/>
    <mergeCell ref="C14:E14"/>
    <mergeCell ref="C28:L28"/>
    <mergeCell ref="C30:G30"/>
    <mergeCell ref="H30:L30"/>
    <mergeCell ref="C31:G32"/>
    <mergeCell ref="H31:L32"/>
  </mergeCells>
  <pageMargins left="0.23622047244094491" right="0.23622047244094491" top="1.1417322834645669" bottom="0.74803149606299213" header="0.31496062992125984" footer="0.31496062992125984"/>
  <pageSetup paperSize="9" scale="72" fitToHeight="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L41"/>
  <sheetViews>
    <sheetView view="pageBreakPreview" topLeftCell="A38" zoomScaleNormal="100" zoomScaleSheetLayoutView="100" workbookViewId="0">
      <selection activeCell="H40" sqref="H40:L40"/>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56</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284</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45" t="s">
        <v>29</v>
      </c>
      <c r="C8" s="428" t="s">
        <v>19</v>
      </c>
      <c r="D8" s="462"/>
      <c r="E8" s="462"/>
      <c r="F8" s="462"/>
      <c r="G8" s="462"/>
      <c r="H8" s="46" t="s">
        <v>21</v>
      </c>
      <c r="I8" s="33" t="s">
        <v>20</v>
      </c>
      <c r="J8" s="47" t="s">
        <v>18</v>
      </c>
      <c r="K8" s="430" t="s">
        <v>17</v>
      </c>
      <c r="L8" s="431"/>
    </row>
    <row r="9" spans="2:12" x14ac:dyDescent="0.25">
      <c r="B9" s="31"/>
      <c r="C9" s="48"/>
      <c r="D9" s="49"/>
      <c r="E9" s="49"/>
      <c r="F9" s="49"/>
      <c r="G9" s="130"/>
      <c r="H9" s="130"/>
      <c r="I9" s="12"/>
      <c r="J9" s="50"/>
      <c r="K9" s="27"/>
      <c r="L9" s="51"/>
    </row>
    <row r="10" spans="2:12" ht="18" customHeight="1" x14ac:dyDescent="0.25">
      <c r="B10" s="100"/>
      <c r="C10" s="432" t="s">
        <v>288</v>
      </c>
      <c r="D10" s="482"/>
      <c r="E10" s="482"/>
      <c r="F10" s="482"/>
      <c r="G10" s="433"/>
      <c r="H10" s="115">
        <v>1</v>
      </c>
      <c r="I10" s="78" t="s">
        <v>46</v>
      </c>
      <c r="J10" s="113">
        <v>30000</v>
      </c>
      <c r="K10" s="24"/>
      <c r="L10" s="119">
        <f>J10*H10</f>
        <v>30000</v>
      </c>
    </row>
    <row r="11" spans="2:12" ht="48.75" customHeight="1" x14ac:dyDescent="0.25">
      <c r="B11" s="100"/>
      <c r="C11" s="432"/>
      <c r="D11" s="482"/>
      <c r="E11" s="482"/>
      <c r="F11" s="482"/>
      <c r="G11" s="433"/>
      <c r="H11" s="116"/>
      <c r="I11" s="11"/>
      <c r="J11" s="52"/>
      <c r="L11" s="53"/>
    </row>
    <row r="12" spans="2:12" x14ac:dyDescent="0.25">
      <c r="B12" s="100"/>
      <c r="C12" s="54"/>
      <c r="D12" s="102"/>
      <c r="E12" s="102"/>
      <c r="F12" s="102"/>
      <c r="G12" s="103"/>
      <c r="H12" s="103"/>
      <c r="I12" s="11"/>
      <c r="J12" s="52"/>
      <c r="L12" s="53"/>
    </row>
    <row r="13" spans="2:12" x14ac:dyDescent="0.25">
      <c r="B13" s="100"/>
      <c r="C13" s="56" t="s">
        <v>40</v>
      </c>
      <c r="D13" s="104"/>
      <c r="E13" s="104"/>
      <c r="F13" s="104"/>
      <c r="G13" s="105"/>
      <c r="H13" s="105"/>
      <c r="I13" s="11"/>
      <c r="J13" s="52"/>
      <c r="L13" s="53"/>
    </row>
    <row r="14" spans="2:12" x14ac:dyDescent="0.25">
      <c r="B14" s="100"/>
      <c r="C14" s="106" t="s">
        <v>98</v>
      </c>
      <c r="D14" s="102"/>
      <c r="E14" s="102"/>
      <c r="F14" s="102"/>
      <c r="G14" s="103"/>
      <c r="H14" s="103"/>
      <c r="I14" s="11"/>
      <c r="J14" s="52"/>
      <c r="L14" s="53"/>
    </row>
    <row r="15" spans="2:12" x14ac:dyDescent="0.25">
      <c r="B15" s="100"/>
      <c r="C15" s="106" t="s">
        <v>99</v>
      </c>
      <c r="D15" s="102"/>
      <c r="E15" s="102"/>
      <c r="F15" s="102"/>
      <c r="G15" s="103"/>
      <c r="H15" s="103"/>
      <c r="I15" s="11"/>
      <c r="J15" s="52"/>
      <c r="L15" s="53"/>
    </row>
    <row r="16" spans="2:12" x14ac:dyDescent="0.25">
      <c r="B16" s="100"/>
      <c r="C16" s="106" t="s">
        <v>100</v>
      </c>
      <c r="D16" s="102"/>
      <c r="E16" s="102"/>
      <c r="F16" s="102"/>
      <c r="G16" s="103"/>
      <c r="H16" s="103"/>
      <c r="I16" s="11"/>
      <c r="J16" s="52"/>
      <c r="L16" s="53"/>
    </row>
    <row r="17" spans="2:12" s="124" customFormat="1" ht="17.25" customHeight="1" x14ac:dyDescent="0.25">
      <c r="B17" s="120"/>
      <c r="C17" s="58" t="s">
        <v>101</v>
      </c>
      <c r="D17" s="121"/>
      <c r="E17" s="121"/>
      <c r="F17" s="121"/>
      <c r="G17" s="131"/>
      <c r="H17" s="131"/>
      <c r="I17" s="122"/>
      <c r="J17" s="123"/>
      <c r="L17" s="125"/>
    </row>
    <row r="18" spans="2:12" s="124" customFormat="1" ht="17.25" customHeight="1" x14ac:dyDescent="0.25">
      <c r="B18" s="120"/>
      <c r="C18" s="58" t="s">
        <v>102</v>
      </c>
      <c r="D18" s="121"/>
      <c r="E18" s="121"/>
      <c r="F18" s="121"/>
      <c r="G18" s="131"/>
      <c r="H18" s="131"/>
      <c r="I18" s="122"/>
      <c r="J18" s="123"/>
      <c r="L18" s="125"/>
    </row>
    <row r="19" spans="2:12" s="124" customFormat="1" x14ac:dyDescent="0.25">
      <c r="B19" s="120"/>
      <c r="C19" s="720" t="s">
        <v>103</v>
      </c>
      <c r="D19" s="721"/>
      <c r="E19" s="721"/>
      <c r="F19" s="721"/>
      <c r="G19" s="722"/>
      <c r="H19" s="112"/>
      <c r="I19" s="126"/>
      <c r="J19" s="127"/>
      <c r="K19" s="128"/>
      <c r="L19" s="125"/>
    </row>
    <row r="20" spans="2:12" s="124" customFormat="1" x14ac:dyDescent="0.25">
      <c r="B20" s="120"/>
      <c r="C20" s="720" t="s">
        <v>104</v>
      </c>
      <c r="D20" s="721"/>
      <c r="E20" s="721"/>
      <c r="F20" s="721"/>
      <c r="G20" s="722"/>
      <c r="H20" s="112"/>
      <c r="I20" s="126"/>
      <c r="J20" s="127"/>
      <c r="K20" s="128"/>
      <c r="L20" s="125"/>
    </row>
    <row r="21" spans="2:12" s="124" customFormat="1" x14ac:dyDescent="0.25">
      <c r="B21" s="120"/>
      <c r="C21" s="132"/>
      <c r="D21" s="108"/>
      <c r="E21" s="108"/>
      <c r="F21" s="108"/>
      <c r="G21" s="112"/>
      <c r="H21" s="112"/>
      <c r="I21" s="126"/>
      <c r="J21" s="127"/>
      <c r="K21" s="128"/>
      <c r="L21" s="125"/>
    </row>
    <row r="22" spans="2:12" s="124" customFormat="1" x14ac:dyDescent="0.25">
      <c r="B22" s="120"/>
      <c r="C22" s="132"/>
      <c r="D22" s="108"/>
      <c r="E22" s="108"/>
      <c r="F22" s="108"/>
      <c r="G22" s="112"/>
      <c r="H22" s="112"/>
      <c r="I22" s="126"/>
      <c r="J22" s="127"/>
      <c r="K22" s="128"/>
      <c r="L22" s="125"/>
    </row>
    <row r="23" spans="2:12" s="124" customFormat="1" x14ac:dyDescent="0.25">
      <c r="B23" s="120"/>
      <c r="C23" s="132"/>
      <c r="D23" s="108"/>
      <c r="E23" s="108"/>
      <c r="F23" s="108"/>
      <c r="G23" s="112"/>
      <c r="H23" s="112"/>
      <c r="I23" s="126"/>
      <c r="J23" s="127"/>
      <c r="K23" s="128"/>
      <c r="L23" s="125"/>
    </row>
    <row r="24" spans="2:12" x14ac:dyDescent="0.25">
      <c r="B24" s="100"/>
      <c r="C24" s="96" t="s">
        <v>33</v>
      </c>
      <c r="D24" s="107"/>
      <c r="E24" s="107"/>
      <c r="F24" s="108"/>
      <c r="G24" s="112"/>
      <c r="H24" s="129"/>
      <c r="I24" s="62"/>
      <c r="J24" s="63"/>
      <c r="K24" s="59"/>
      <c r="L24" s="53"/>
    </row>
    <row r="25" spans="2:12" x14ac:dyDescent="0.25">
      <c r="B25" s="100"/>
      <c r="C25" s="95" t="s">
        <v>34</v>
      </c>
      <c r="D25" s="107"/>
      <c r="E25" s="107"/>
      <c r="F25" s="108"/>
      <c r="G25" s="112"/>
      <c r="H25" s="129"/>
      <c r="I25" s="62"/>
      <c r="J25" s="63"/>
      <c r="K25" s="59"/>
      <c r="L25" s="53"/>
    </row>
    <row r="26" spans="2:12" x14ac:dyDescent="0.25">
      <c r="B26" s="100"/>
      <c r="C26" s="95" t="s">
        <v>35</v>
      </c>
      <c r="D26" s="107"/>
      <c r="E26" s="107"/>
      <c r="F26" s="108"/>
      <c r="G26" s="112"/>
      <c r="H26" s="129"/>
      <c r="I26" s="62"/>
      <c r="J26" s="63"/>
      <c r="K26" s="59"/>
      <c r="L26" s="53"/>
    </row>
    <row r="27" spans="2:12" x14ac:dyDescent="0.25">
      <c r="B27" s="100"/>
      <c r="C27" s="95"/>
      <c r="D27" s="107"/>
      <c r="E27" s="107"/>
      <c r="F27" s="108"/>
      <c r="G27" s="112"/>
      <c r="H27" s="129"/>
      <c r="I27" s="62"/>
      <c r="J27" s="63"/>
      <c r="K27" s="59"/>
      <c r="L27" s="53"/>
    </row>
    <row r="28" spans="2:12" x14ac:dyDescent="0.25">
      <c r="B28" s="100"/>
      <c r="C28" s="96" t="s">
        <v>36</v>
      </c>
      <c r="D28" s="107"/>
      <c r="E28" s="107"/>
      <c r="F28" s="108"/>
      <c r="G28" s="112"/>
      <c r="H28" s="129"/>
      <c r="I28" s="62"/>
      <c r="J28" s="63"/>
      <c r="K28" s="59"/>
      <c r="L28" s="53"/>
    </row>
    <row r="29" spans="2:12" x14ac:dyDescent="0.25">
      <c r="B29" s="100"/>
      <c r="C29" s="95" t="s">
        <v>37</v>
      </c>
      <c r="D29" s="109"/>
      <c r="E29" s="109"/>
      <c r="F29" s="109"/>
      <c r="G29" s="110"/>
      <c r="H29" s="110"/>
      <c r="I29" s="11"/>
      <c r="J29" s="52"/>
      <c r="L29" s="53"/>
    </row>
    <row r="30" spans="2:12" x14ac:dyDescent="0.25">
      <c r="B30" s="100"/>
      <c r="C30" s="95" t="s">
        <v>83</v>
      </c>
      <c r="D30" s="109"/>
      <c r="E30" s="109"/>
      <c r="F30" s="109"/>
      <c r="G30" s="110"/>
      <c r="H30" s="110"/>
      <c r="I30" s="11"/>
      <c r="J30" s="52"/>
      <c r="L30" s="53"/>
    </row>
    <row r="31" spans="2:12" x14ac:dyDescent="0.25">
      <c r="B31" s="100"/>
      <c r="C31" s="95"/>
      <c r="D31" s="109"/>
      <c r="E31" s="109"/>
      <c r="F31" s="109"/>
      <c r="G31" s="110"/>
      <c r="H31" s="110"/>
      <c r="I31" s="11"/>
      <c r="J31" s="52"/>
      <c r="L31" s="53"/>
    </row>
    <row r="32" spans="2:12" x14ac:dyDescent="0.25">
      <c r="B32" s="100"/>
      <c r="C32" s="56" t="s">
        <v>8</v>
      </c>
      <c r="D32" s="104"/>
      <c r="E32" s="104"/>
      <c r="F32" s="104"/>
      <c r="G32" s="105"/>
      <c r="H32" s="105"/>
      <c r="I32" s="11"/>
      <c r="J32" s="113"/>
      <c r="K32" s="24"/>
      <c r="L32" s="53"/>
    </row>
    <row r="33" spans="2:12" x14ac:dyDescent="0.25">
      <c r="B33" s="100"/>
      <c r="C33" s="54" t="s">
        <v>7</v>
      </c>
      <c r="D33" s="102"/>
      <c r="E33" s="102"/>
      <c r="F33" s="102"/>
      <c r="G33" s="103"/>
      <c r="H33" s="103"/>
      <c r="I33" s="11"/>
      <c r="J33" s="113"/>
      <c r="K33" s="24"/>
      <c r="L33" s="53"/>
    </row>
    <row r="34" spans="2:12" x14ac:dyDescent="0.25">
      <c r="B34" s="101"/>
      <c r="C34" s="66"/>
      <c r="D34" s="67"/>
      <c r="E34" s="67"/>
      <c r="F34" s="67"/>
      <c r="G34" s="111"/>
      <c r="H34" s="111"/>
      <c r="I34" s="10"/>
      <c r="J34" s="114" t="s">
        <v>6</v>
      </c>
      <c r="K34" s="72" t="s">
        <v>5</v>
      </c>
      <c r="L34" s="69">
        <f>SUM(L9:L33)</f>
        <v>30000</v>
      </c>
    </row>
    <row r="35" spans="2:12" ht="27.75" customHeight="1" x14ac:dyDescent="0.25">
      <c r="B35" s="88" t="s">
        <v>4</v>
      </c>
      <c r="C35" s="717" t="s">
        <v>288</v>
      </c>
      <c r="D35" s="718"/>
      <c r="E35" s="718"/>
      <c r="F35" s="718"/>
      <c r="G35" s="718"/>
      <c r="H35" s="718"/>
      <c r="I35" s="718"/>
      <c r="J35" s="718"/>
      <c r="K35" s="718"/>
      <c r="L35" s="719"/>
    </row>
    <row r="36" spans="2:12" ht="15.75" customHeight="1" x14ac:dyDescent="0.25">
      <c r="B36" s="136"/>
      <c r="C36" s="215"/>
      <c r="D36" s="216"/>
      <c r="E36" s="216"/>
      <c r="F36" s="216"/>
      <c r="G36" s="216"/>
      <c r="H36" s="216"/>
      <c r="I36" s="216"/>
      <c r="J36" s="216"/>
      <c r="K36" s="216"/>
      <c r="L36" s="217"/>
    </row>
    <row r="37" spans="2:12" x14ac:dyDescent="0.25">
      <c r="B37" s="73"/>
      <c r="C37" s="445"/>
      <c r="D37" s="444"/>
      <c r="E37" s="444"/>
      <c r="F37" s="444"/>
      <c r="G37" s="444"/>
      <c r="H37" s="441" t="s">
        <v>3</v>
      </c>
      <c r="I37" s="442"/>
      <c r="J37" s="442"/>
      <c r="K37" s="442"/>
      <c r="L37" s="443"/>
    </row>
    <row r="38" spans="2:12" x14ac:dyDescent="0.25">
      <c r="B38" s="25"/>
      <c r="C38" s="450"/>
      <c r="D38" s="480"/>
      <c r="E38" s="480"/>
      <c r="F38" s="480"/>
      <c r="G38" s="451"/>
      <c r="H38" s="454"/>
      <c r="I38" s="455"/>
      <c r="J38" s="455"/>
      <c r="K38" s="455"/>
      <c r="L38" s="456"/>
    </row>
    <row r="39" spans="2:12" x14ac:dyDescent="0.25">
      <c r="B39" s="78" t="s">
        <v>2</v>
      </c>
      <c r="C39" s="452"/>
      <c r="D39" s="481"/>
      <c r="E39" s="481"/>
      <c r="F39" s="481"/>
      <c r="G39" s="453"/>
      <c r="H39" s="457"/>
      <c r="I39" s="458"/>
      <c r="J39" s="458"/>
      <c r="K39" s="458"/>
      <c r="L39" s="459"/>
    </row>
    <row r="40" spans="2:12" x14ac:dyDescent="0.25">
      <c r="B40" s="78" t="s">
        <v>1</v>
      </c>
      <c r="C40" s="440" t="s">
        <v>216</v>
      </c>
      <c r="D40" s="440"/>
      <c r="E40" s="440"/>
      <c r="F40" s="440"/>
      <c r="G40" s="440"/>
      <c r="H40" s="441" t="s">
        <v>272</v>
      </c>
      <c r="I40" s="442"/>
      <c r="J40" s="442"/>
      <c r="K40" s="442"/>
      <c r="L40" s="443"/>
    </row>
    <row r="41" spans="2:12" x14ac:dyDescent="0.25">
      <c r="B41" s="83" t="s">
        <v>0</v>
      </c>
      <c r="C41" s="444" t="s">
        <v>289</v>
      </c>
      <c r="D41" s="444"/>
      <c r="E41" s="444"/>
      <c r="F41" s="444"/>
      <c r="G41" s="444"/>
      <c r="H41" s="445" t="s">
        <v>32</v>
      </c>
      <c r="I41" s="444"/>
      <c r="J41" s="444"/>
      <c r="K41" s="444"/>
      <c r="L41" s="446"/>
    </row>
  </sheetData>
  <mergeCells count="19">
    <mergeCell ref="C41:G41"/>
    <mergeCell ref="H41:L41"/>
    <mergeCell ref="C37:G37"/>
    <mergeCell ref="H37:L37"/>
    <mergeCell ref="C38:G39"/>
    <mergeCell ref="H38:L39"/>
    <mergeCell ref="C40:G40"/>
    <mergeCell ref="H40:L40"/>
    <mergeCell ref="C10:G11"/>
    <mergeCell ref="C35:L35"/>
    <mergeCell ref="B1:L1"/>
    <mergeCell ref="B2:L2"/>
    <mergeCell ref="B3:L3"/>
    <mergeCell ref="B4:L4"/>
    <mergeCell ref="C6:H6"/>
    <mergeCell ref="C8:G8"/>
    <mergeCell ref="K8:L8"/>
    <mergeCell ref="C19:G19"/>
    <mergeCell ref="C20:G20"/>
  </mergeCells>
  <pageMargins left="0.23622047244094491" right="0.23622047244094491" top="1.1417322834645669" bottom="0.74803149606299213" header="0.31496062992125984" footer="0.31496062992125984"/>
  <pageSetup paperSize="9" scale="74" fitToHeight="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L42"/>
  <sheetViews>
    <sheetView view="pageBreakPreview" topLeftCell="A20" zoomScaleNormal="100" zoomScaleSheetLayoutView="100" workbookViewId="0">
      <selection activeCell="H41" sqref="H41:L41"/>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56</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284</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45" t="s">
        <v>29</v>
      </c>
      <c r="C8" s="428" t="s">
        <v>19</v>
      </c>
      <c r="D8" s="462"/>
      <c r="E8" s="462"/>
      <c r="F8" s="462"/>
      <c r="G8" s="462"/>
      <c r="H8" s="46" t="s">
        <v>21</v>
      </c>
      <c r="I8" s="33" t="s">
        <v>20</v>
      </c>
      <c r="J8" s="47" t="s">
        <v>18</v>
      </c>
      <c r="K8" s="430" t="s">
        <v>17</v>
      </c>
      <c r="L8" s="431"/>
    </row>
    <row r="9" spans="2:12" x14ac:dyDescent="0.25">
      <c r="B9" s="31"/>
      <c r="C9" s="48"/>
      <c r="D9" s="49"/>
      <c r="E9" s="49"/>
      <c r="F9" s="49"/>
      <c r="G9" s="130"/>
      <c r="H9" s="130"/>
      <c r="I9" s="12"/>
      <c r="J9" s="50"/>
      <c r="K9" s="27"/>
      <c r="L9" s="51"/>
    </row>
    <row r="10" spans="2:12" ht="18" customHeight="1" x14ac:dyDescent="0.25">
      <c r="B10" s="100"/>
      <c r="C10" s="432" t="s">
        <v>290</v>
      </c>
      <c r="D10" s="482"/>
      <c r="E10" s="482"/>
      <c r="F10" s="482"/>
      <c r="G10" s="433"/>
      <c r="H10" s="115">
        <v>1</v>
      </c>
      <c r="I10" s="78" t="s">
        <v>46</v>
      </c>
      <c r="J10" s="113">
        <v>50000</v>
      </c>
      <c r="K10" s="24"/>
      <c r="L10" s="119">
        <f>J10*H10</f>
        <v>50000</v>
      </c>
    </row>
    <row r="11" spans="2:12" ht="48.75" customHeight="1" x14ac:dyDescent="0.25">
      <c r="B11" s="100"/>
      <c r="C11" s="432"/>
      <c r="D11" s="482"/>
      <c r="E11" s="482"/>
      <c r="F11" s="482"/>
      <c r="G11" s="433"/>
      <c r="H11" s="116"/>
      <c r="I11" s="11"/>
      <c r="J11" s="52"/>
      <c r="L11" s="53"/>
    </row>
    <row r="12" spans="2:12" x14ac:dyDescent="0.25">
      <c r="B12" s="100"/>
      <c r="C12" s="54"/>
      <c r="D12" s="102"/>
      <c r="E12" s="102"/>
      <c r="F12" s="102"/>
      <c r="G12" s="103"/>
      <c r="H12" s="103"/>
      <c r="I12" s="11"/>
      <c r="J12" s="52"/>
      <c r="L12" s="53"/>
    </row>
    <row r="13" spans="2:12" x14ac:dyDescent="0.25">
      <c r="B13" s="100"/>
      <c r="C13" s="56" t="s">
        <v>40</v>
      </c>
      <c r="D13" s="104"/>
      <c r="E13" s="104"/>
      <c r="F13" s="104"/>
      <c r="G13" s="105"/>
      <c r="H13" s="105"/>
      <c r="I13" s="11"/>
      <c r="J13" s="52"/>
      <c r="L13" s="53"/>
    </row>
    <row r="14" spans="2:12" x14ac:dyDescent="0.25">
      <c r="B14" s="100"/>
      <c r="C14" s="106" t="s">
        <v>85</v>
      </c>
      <c r="D14" s="102"/>
      <c r="E14" s="102"/>
      <c r="F14" s="102"/>
      <c r="G14" s="103"/>
      <c r="H14" s="103"/>
      <c r="I14" s="11"/>
      <c r="J14" s="52"/>
      <c r="L14" s="53"/>
    </row>
    <row r="15" spans="2:12" x14ac:dyDescent="0.25">
      <c r="B15" s="100"/>
      <c r="C15" s="106" t="s">
        <v>86</v>
      </c>
      <c r="D15" s="102"/>
      <c r="E15" s="102"/>
      <c r="F15" s="102"/>
      <c r="G15" s="103"/>
      <c r="H15" s="103"/>
      <c r="I15" s="11"/>
      <c r="J15" s="52"/>
      <c r="L15" s="53"/>
    </row>
    <row r="16" spans="2:12" s="124" customFormat="1" ht="17.25" customHeight="1" x14ac:dyDescent="0.25">
      <c r="B16" s="120"/>
      <c r="C16" s="58" t="s">
        <v>87</v>
      </c>
      <c r="D16" s="121"/>
      <c r="E16" s="121"/>
      <c r="F16" s="121"/>
      <c r="G16" s="131"/>
      <c r="H16" s="131"/>
      <c r="I16" s="122"/>
      <c r="J16" s="123"/>
      <c r="L16" s="125"/>
    </row>
    <row r="17" spans="2:12" s="124" customFormat="1" ht="17.25" customHeight="1" x14ac:dyDescent="0.25">
      <c r="B17" s="120"/>
      <c r="C17" s="58" t="s">
        <v>88</v>
      </c>
      <c r="D17" s="121"/>
      <c r="E17" s="121"/>
      <c r="F17" s="121"/>
      <c r="G17" s="131"/>
      <c r="H17" s="131"/>
      <c r="I17" s="122"/>
      <c r="J17" s="123"/>
      <c r="L17" s="125"/>
    </row>
    <row r="18" spans="2:12" s="124" customFormat="1" x14ac:dyDescent="0.25">
      <c r="B18" s="120"/>
      <c r="C18" s="720" t="s">
        <v>89</v>
      </c>
      <c r="D18" s="721"/>
      <c r="E18" s="721"/>
      <c r="F18" s="721"/>
      <c r="G18" s="722"/>
      <c r="H18" s="112"/>
      <c r="I18" s="126"/>
      <c r="J18" s="127"/>
      <c r="K18" s="128"/>
      <c r="L18" s="125"/>
    </row>
    <row r="19" spans="2:12" s="124" customFormat="1" x14ac:dyDescent="0.25">
      <c r="B19" s="120"/>
      <c r="C19" s="720" t="s">
        <v>90</v>
      </c>
      <c r="D19" s="721"/>
      <c r="E19" s="721"/>
      <c r="F19" s="721"/>
      <c r="G19" s="722"/>
      <c r="H19" s="112"/>
      <c r="I19" s="126"/>
      <c r="J19" s="127"/>
      <c r="K19" s="128"/>
      <c r="L19" s="125"/>
    </row>
    <row r="20" spans="2:12" s="124" customFormat="1" x14ac:dyDescent="0.25">
      <c r="B20" s="120"/>
      <c r="C20" s="720" t="s">
        <v>91</v>
      </c>
      <c r="D20" s="721"/>
      <c r="E20" s="721"/>
      <c r="F20" s="721"/>
      <c r="G20" s="722"/>
      <c r="H20" s="112"/>
      <c r="I20" s="126"/>
      <c r="J20" s="127"/>
      <c r="K20" s="128"/>
      <c r="L20" s="125"/>
    </row>
    <row r="21" spans="2:12" s="124" customFormat="1" x14ac:dyDescent="0.25">
      <c r="B21" s="120"/>
      <c r="C21" s="720" t="s">
        <v>92</v>
      </c>
      <c r="D21" s="721"/>
      <c r="E21" s="721"/>
      <c r="F21" s="721"/>
      <c r="G21" s="722"/>
      <c r="H21" s="112"/>
      <c r="I21" s="126"/>
      <c r="J21" s="127"/>
      <c r="K21" s="128"/>
      <c r="L21" s="125"/>
    </row>
    <row r="22" spans="2:12" s="124" customFormat="1" x14ac:dyDescent="0.25">
      <c r="B22" s="120"/>
      <c r="C22" s="106"/>
      <c r="D22" s="213"/>
      <c r="E22" s="213"/>
      <c r="F22" s="213"/>
      <c r="G22" s="214"/>
      <c r="H22" s="112"/>
      <c r="I22" s="126"/>
      <c r="J22" s="127"/>
      <c r="K22" s="128"/>
      <c r="L22" s="125"/>
    </row>
    <row r="23" spans="2:12" s="124" customFormat="1" x14ac:dyDescent="0.25">
      <c r="B23" s="120"/>
      <c r="C23" s="132"/>
      <c r="D23" s="108"/>
      <c r="E23" s="108"/>
      <c r="F23" s="108"/>
      <c r="G23" s="112"/>
      <c r="H23" s="112"/>
      <c r="I23" s="126"/>
      <c r="J23" s="127"/>
      <c r="K23" s="128"/>
      <c r="L23" s="125"/>
    </row>
    <row r="24" spans="2:12" x14ac:dyDescent="0.25">
      <c r="B24" s="100"/>
      <c r="C24" s="96" t="s">
        <v>33</v>
      </c>
      <c r="D24" s="107"/>
      <c r="E24" s="107"/>
      <c r="F24" s="108"/>
      <c r="G24" s="112"/>
      <c r="H24" s="129"/>
      <c r="I24" s="62"/>
      <c r="J24" s="63"/>
      <c r="K24" s="59"/>
      <c r="L24" s="53"/>
    </row>
    <row r="25" spans="2:12" x14ac:dyDescent="0.25">
      <c r="B25" s="100"/>
      <c r="C25" s="95" t="s">
        <v>34</v>
      </c>
      <c r="D25" s="107"/>
      <c r="E25" s="107"/>
      <c r="F25" s="108"/>
      <c r="G25" s="112"/>
      <c r="H25" s="129"/>
      <c r="I25" s="62"/>
      <c r="J25" s="63"/>
      <c r="K25" s="59"/>
      <c r="L25" s="53"/>
    </row>
    <row r="26" spans="2:12" x14ac:dyDescent="0.25">
      <c r="B26" s="100"/>
      <c r="C26" s="95" t="s">
        <v>35</v>
      </c>
      <c r="D26" s="107"/>
      <c r="E26" s="107"/>
      <c r="F26" s="108"/>
      <c r="G26" s="112"/>
      <c r="H26" s="129"/>
      <c r="I26" s="62"/>
      <c r="J26" s="63"/>
      <c r="K26" s="59"/>
      <c r="L26" s="53"/>
    </row>
    <row r="27" spans="2:12" x14ac:dyDescent="0.25">
      <c r="B27" s="100"/>
      <c r="C27" s="95"/>
      <c r="D27" s="107"/>
      <c r="E27" s="107"/>
      <c r="F27" s="108"/>
      <c r="G27" s="112"/>
      <c r="H27" s="129"/>
      <c r="I27" s="62"/>
      <c r="J27" s="63"/>
      <c r="K27" s="59"/>
      <c r="L27" s="53"/>
    </row>
    <row r="28" spans="2:12" x14ac:dyDescent="0.25">
      <c r="B28" s="100"/>
      <c r="C28" s="96" t="s">
        <v>36</v>
      </c>
      <c r="D28" s="107"/>
      <c r="E28" s="107"/>
      <c r="F28" s="108"/>
      <c r="G28" s="112"/>
      <c r="H28" s="129"/>
      <c r="I28" s="62"/>
      <c r="J28" s="63"/>
      <c r="K28" s="59"/>
      <c r="L28" s="53"/>
    </row>
    <row r="29" spans="2:12" x14ac:dyDescent="0.25">
      <c r="B29" s="100"/>
      <c r="C29" s="95" t="s">
        <v>37</v>
      </c>
      <c r="D29" s="109"/>
      <c r="E29" s="109"/>
      <c r="F29" s="109"/>
      <c r="G29" s="110"/>
      <c r="H29" s="110"/>
      <c r="I29" s="11"/>
      <c r="J29" s="52"/>
      <c r="L29" s="53"/>
    </row>
    <row r="30" spans="2:12" x14ac:dyDescent="0.25">
      <c r="B30" s="100"/>
      <c r="C30" s="95" t="s">
        <v>83</v>
      </c>
      <c r="D30" s="109"/>
      <c r="E30" s="109"/>
      <c r="F30" s="109"/>
      <c r="G30" s="110"/>
      <c r="H30" s="110"/>
      <c r="I30" s="11"/>
      <c r="J30" s="52"/>
      <c r="L30" s="53"/>
    </row>
    <row r="31" spans="2:12" x14ac:dyDescent="0.25">
      <c r="B31" s="100"/>
      <c r="C31" s="95" t="s">
        <v>81</v>
      </c>
      <c r="D31" s="109"/>
      <c r="E31" s="109"/>
      <c r="F31" s="109"/>
      <c r="G31" s="110"/>
      <c r="H31" s="110"/>
      <c r="I31" s="11"/>
      <c r="J31" s="52"/>
      <c r="L31" s="53"/>
    </row>
    <row r="32" spans="2:12" x14ac:dyDescent="0.25">
      <c r="B32" s="100"/>
      <c r="C32" s="95"/>
      <c r="D32" s="109"/>
      <c r="E32" s="109"/>
      <c r="F32" s="109"/>
      <c r="G32" s="110"/>
      <c r="H32" s="110"/>
      <c r="I32" s="11"/>
      <c r="J32" s="52"/>
      <c r="L32" s="53"/>
    </row>
    <row r="33" spans="2:12" x14ac:dyDescent="0.25">
      <c r="B33" s="100"/>
      <c r="C33" s="56" t="s">
        <v>8</v>
      </c>
      <c r="D33" s="104"/>
      <c r="E33" s="104"/>
      <c r="F33" s="104"/>
      <c r="G33" s="105"/>
      <c r="H33" s="105"/>
      <c r="I33" s="11"/>
      <c r="J33" s="113"/>
      <c r="K33" s="24"/>
      <c r="L33" s="53"/>
    </row>
    <row r="34" spans="2:12" x14ac:dyDescent="0.25">
      <c r="B34" s="100"/>
      <c r="C34" s="54" t="s">
        <v>7</v>
      </c>
      <c r="D34" s="102"/>
      <c r="E34" s="102"/>
      <c r="F34" s="102"/>
      <c r="G34" s="103"/>
      <c r="H34" s="103"/>
      <c r="I34" s="11"/>
      <c r="J34" s="113"/>
      <c r="K34" s="24"/>
      <c r="L34" s="53"/>
    </row>
    <row r="35" spans="2:12" x14ac:dyDescent="0.25">
      <c r="B35" s="101"/>
      <c r="C35" s="66"/>
      <c r="D35" s="67"/>
      <c r="E35" s="67"/>
      <c r="F35" s="67"/>
      <c r="G35" s="111"/>
      <c r="H35" s="111"/>
      <c r="I35" s="10"/>
      <c r="J35" s="114" t="s">
        <v>6</v>
      </c>
      <c r="K35" s="72" t="s">
        <v>5</v>
      </c>
      <c r="L35" s="69">
        <f>SUM(L9:L34)</f>
        <v>50000</v>
      </c>
    </row>
    <row r="36" spans="2:12" ht="35.25" customHeight="1" x14ac:dyDescent="0.25">
      <c r="B36" s="88" t="s">
        <v>4</v>
      </c>
      <c r="C36" s="717" t="s">
        <v>290</v>
      </c>
      <c r="D36" s="718"/>
      <c r="E36" s="718"/>
      <c r="F36" s="718"/>
      <c r="G36" s="718"/>
      <c r="H36" s="718"/>
      <c r="I36" s="718"/>
      <c r="J36" s="718"/>
      <c r="K36" s="718"/>
      <c r="L36" s="719"/>
    </row>
    <row r="37" spans="2:12" ht="15.75" customHeight="1" x14ac:dyDescent="0.25">
      <c r="B37" s="136"/>
      <c r="C37" s="215"/>
      <c r="D37" s="216"/>
      <c r="E37" s="216"/>
      <c r="F37" s="216"/>
      <c r="G37" s="216"/>
      <c r="H37" s="216"/>
      <c r="I37" s="216"/>
      <c r="J37" s="216"/>
      <c r="K37" s="216"/>
      <c r="L37" s="217"/>
    </row>
    <row r="38" spans="2:12" x14ac:dyDescent="0.25">
      <c r="B38" s="73"/>
      <c r="C38" s="445"/>
      <c r="D38" s="444"/>
      <c r="E38" s="444"/>
      <c r="F38" s="444"/>
      <c r="G38" s="444"/>
      <c r="H38" s="441" t="s">
        <v>3</v>
      </c>
      <c r="I38" s="442"/>
      <c r="J38" s="442"/>
      <c r="K38" s="442"/>
      <c r="L38" s="443"/>
    </row>
    <row r="39" spans="2:12" x14ac:dyDescent="0.25">
      <c r="B39" s="25"/>
      <c r="C39" s="450"/>
      <c r="D39" s="480"/>
      <c r="E39" s="480"/>
      <c r="F39" s="480"/>
      <c r="G39" s="451"/>
      <c r="H39" s="454"/>
      <c r="I39" s="455"/>
      <c r="J39" s="455"/>
      <c r="K39" s="455"/>
      <c r="L39" s="456"/>
    </row>
    <row r="40" spans="2:12" x14ac:dyDescent="0.25">
      <c r="B40" s="78" t="s">
        <v>2</v>
      </c>
      <c r="C40" s="452"/>
      <c r="D40" s="481"/>
      <c r="E40" s="481"/>
      <c r="F40" s="481"/>
      <c r="G40" s="453"/>
      <c r="H40" s="457"/>
      <c r="I40" s="458"/>
      <c r="J40" s="458"/>
      <c r="K40" s="458"/>
      <c r="L40" s="459"/>
    </row>
    <row r="41" spans="2:12" ht="15.75" customHeight="1" x14ac:dyDescent="0.25">
      <c r="B41" s="78" t="s">
        <v>1</v>
      </c>
      <c r="C41" s="440" t="s">
        <v>216</v>
      </c>
      <c r="D41" s="440"/>
      <c r="E41" s="440"/>
      <c r="F41" s="440"/>
      <c r="G41" s="440"/>
      <c r="H41" s="441" t="s">
        <v>31</v>
      </c>
      <c r="I41" s="442"/>
      <c r="J41" s="442"/>
      <c r="K41" s="442"/>
      <c r="L41" s="443"/>
    </row>
    <row r="42" spans="2:12" x14ac:dyDescent="0.25">
      <c r="B42" s="83" t="s">
        <v>0</v>
      </c>
      <c r="C42" s="444" t="s">
        <v>289</v>
      </c>
      <c r="D42" s="444"/>
      <c r="E42" s="444"/>
      <c r="F42" s="444"/>
      <c r="G42" s="444"/>
      <c r="H42" s="445" t="s">
        <v>32</v>
      </c>
      <c r="I42" s="444"/>
      <c r="J42" s="444"/>
      <c r="K42" s="444"/>
      <c r="L42" s="446"/>
    </row>
  </sheetData>
  <mergeCells count="21">
    <mergeCell ref="C41:G41"/>
    <mergeCell ref="H41:L41"/>
    <mergeCell ref="C42:G42"/>
    <mergeCell ref="H42:L42"/>
    <mergeCell ref="C36:L36"/>
    <mergeCell ref="C38:G38"/>
    <mergeCell ref="H38:L38"/>
    <mergeCell ref="C39:G40"/>
    <mergeCell ref="H39:L40"/>
    <mergeCell ref="C8:G8"/>
    <mergeCell ref="K8:L8"/>
    <mergeCell ref="C20:G20"/>
    <mergeCell ref="C21:G21"/>
    <mergeCell ref="B1:L1"/>
    <mergeCell ref="B2:L2"/>
    <mergeCell ref="B3:L3"/>
    <mergeCell ref="B4:L4"/>
    <mergeCell ref="C6:H6"/>
    <mergeCell ref="C10:G11"/>
    <mergeCell ref="C18:G18"/>
    <mergeCell ref="C19:G19"/>
  </mergeCells>
  <pageMargins left="0.23622047244094491" right="0.23622047244094491" top="1.1417322834645669" bottom="0.74803149606299213" header="0.31496062992125984" footer="0.31496062992125984"/>
  <pageSetup paperSize="9" scale="74" fitToHeight="0"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L36"/>
  <sheetViews>
    <sheetView view="pageBreakPreview" topLeftCell="A18" zoomScaleNormal="100" zoomScaleSheetLayoutView="100" workbookViewId="0">
      <selection activeCell="C33" sqref="C33:G3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56</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284</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45" t="s">
        <v>29</v>
      </c>
      <c r="C8" s="428" t="s">
        <v>19</v>
      </c>
      <c r="D8" s="462"/>
      <c r="E8" s="462"/>
      <c r="F8" s="462"/>
      <c r="G8" s="462"/>
      <c r="H8" s="46" t="s">
        <v>21</v>
      </c>
      <c r="I8" s="33" t="s">
        <v>20</v>
      </c>
      <c r="J8" s="47" t="s">
        <v>18</v>
      </c>
      <c r="K8" s="430" t="s">
        <v>17</v>
      </c>
      <c r="L8" s="431"/>
    </row>
    <row r="9" spans="2:12" x14ac:dyDescent="0.25">
      <c r="B9" s="31"/>
      <c r="C9" s="48"/>
      <c r="D9" s="49"/>
      <c r="E9" s="49"/>
      <c r="F9" s="49"/>
      <c r="G9" s="130"/>
      <c r="H9" s="130"/>
      <c r="I9" s="12"/>
      <c r="J9" s="50"/>
      <c r="K9" s="27"/>
      <c r="L9" s="51"/>
    </row>
    <row r="10" spans="2:12" ht="18" customHeight="1" x14ac:dyDescent="0.25">
      <c r="B10" s="100"/>
      <c r="C10" s="432" t="s">
        <v>291</v>
      </c>
      <c r="D10" s="482"/>
      <c r="E10" s="482"/>
      <c r="F10" s="482"/>
      <c r="G10" s="433"/>
      <c r="H10" s="115">
        <v>1</v>
      </c>
      <c r="I10" s="78" t="s">
        <v>46</v>
      </c>
      <c r="J10" s="113">
        <v>23600</v>
      </c>
      <c r="K10" s="24"/>
      <c r="L10" s="119">
        <f>J10*H10</f>
        <v>23600</v>
      </c>
    </row>
    <row r="11" spans="2:12" ht="18.75" customHeight="1" x14ac:dyDescent="0.25">
      <c r="B11" s="100"/>
      <c r="C11" s="432"/>
      <c r="D11" s="482"/>
      <c r="E11" s="482"/>
      <c r="F11" s="482"/>
      <c r="G11" s="433"/>
      <c r="H11" s="116"/>
      <c r="I11" s="11"/>
      <c r="J11" s="52"/>
      <c r="L11" s="53"/>
    </row>
    <row r="12" spans="2:12" x14ac:dyDescent="0.25">
      <c r="B12" s="100"/>
      <c r="C12" s="54"/>
      <c r="D12" s="102"/>
      <c r="E12" s="102"/>
      <c r="F12" s="102"/>
      <c r="G12" s="103"/>
      <c r="H12" s="103"/>
      <c r="I12" s="11"/>
      <c r="J12" s="52"/>
      <c r="L12" s="53"/>
    </row>
    <row r="13" spans="2:12" x14ac:dyDescent="0.25">
      <c r="B13" s="100"/>
      <c r="C13" s="56" t="s">
        <v>40</v>
      </c>
      <c r="D13" s="104"/>
      <c r="E13" s="104"/>
      <c r="F13" s="104"/>
      <c r="G13" s="105"/>
      <c r="H13" s="105"/>
      <c r="I13" s="11"/>
      <c r="J13" s="52"/>
      <c r="L13" s="53"/>
    </row>
    <row r="14" spans="2:12" x14ac:dyDescent="0.25">
      <c r="B14" s="100"/>
      <c r="C14" s="106" t="s">
        <v>292</v>
      </c>
      <c r="D14" s="102"/>
      <c r="E14" s="102"/>
      <c r="F14" s="102"/>
      <c r="G14" s="103"/>
      <c r="H14" s="103"/>
      <c r="I14" s="11"/>
      <c r="J14" s="52"/>
      <c r="L14" s="53"/>
    </row>
    <row r="15" spans="2:12" x14ac:dyDescent="0.25">
      <c r="B15" s="100"/>
      <c r="C15" s="106"/>
      <c r="D15" s="102"/>
      <c r="E15" s="102"/>
      <c r="F15" s="102"/>
      <c r="G15" s="103"/>
      <c r="H15" s="103"/>
      <c r="I15" s="11"/>
      <c r="J15" s="52"/>
      <c r="L15" s="53"/>
    </row>
    <row r="16" spans="2:12" s="124" customFormat="1" x14ac:dyDescent="0.25">
      <c r="B16" s="120"/>
      <c r="C16" s="132"/>
      <c r="D16" s="108"/>
      <c r="E16" s="108"/>
      <c r="F16" s="108"/>
      <c r="G16" s="112"/>
      <c r="H16" s="112"/>
      <c r="I16" s="126"/>
      <c r="J16" s="127"/>
      <c r="K16" s="128"/>
      <c r="L16" s="125"/>
    </row>
    <row r="17" spans="2:12" x14ac:dyDescent="0.25">
      <c r="B17" s="100"/>
      <c r="C17" s="96" t="s">
        <v>33</v>
      </c>
      <c r="D17" s="107"/>
      <c r="E17" s="107"/>
      <c r="F17" s="108"/>
      <c r="G17" s="112"/>
      <c r="H17" s="129"/>
      <c r="I17" s="62"/>
      <c r="J17" s="63"/>
      <c r="K17" s="59"/>
      <c r="L17" s="53"/>
    </row>
    <row r="18" spans="2:12" x14ac:dyDescent="0.25">
      <c r="B18" s="100"/>
      <c r="C18" s="95" t="s">
        <v>34</v>
      </c>
      <c r="D18" s="107"/>
      <c r="E18" s="107"/>
      <c r="F18" s="108"/>
      <c r="G18" s="112"/>
      <c r="H18" s="129"/>
      <c r="I18" s="62"/>
      <c r="J18" s="63"/>
      <c r="K18" s="59"/>
      <c r="L18" s="53"/>
    </row>
    <row r="19" spans="2:12" x14ac:dyDescent="0.25">
      <c r="B19" s="100"/>
      <c r="C19" s="95" t="s">
        <v>35</v>
      </c>
      <c r="D19" s="107"/>
      <c r="E19" s="107"/>
      <c r="F19" s="108"/>
      <c r="G19" s="112"/>
      <c r="H19" s="129"/>
      <c r="I19" s="62"/>
      <c r="J19" s="63"/>
      <c r="K19" s="59"/>
      <c r="L19" s="53"/>
    </row>
    <row r="20" spans="2:12" x14ac:dyDescent="0.25">
      <c r="B20" s="100"/>
      <c r="C20" s="95"/>
      <c r="D20" s="107"/>
      <c r="E20" s="107"/>
      <c r="F20" s="108"/>
      <c r="G20" s="112"/>
      <c r="H20" s="129"/>
      <c r="I20" s="62"/>
      <c r="J20" s="63"/>
      <c r="K20" s="59"/>
      <c r="L20" s="53"/>
    </row>
    <row r="21" spans="2:12" x14ac:dyDescent="0.25">
      <c r="B21" s="100"/>
      <c r="C21" s="95"/>
      <c r="D21" s="107"/>
      <c r="E21" s="107"/>
      <c r="F21" s="108"/>
      <c r="G21" s="112"/>
      <c r="H21" s="129"/>
      <c r="I21" s="62"/>
      <c r="J21" s="63"/>
      <c r="K21" s="59"/>
      <c r="L21" s="53"/>
    </row>
    <row r="22" spans="2:12" x14ac:dyDescent="0.25">
      <c r="B22" s="100"/>
      <c r="C22" s="96" t="s">
        <v>36</v>
      </c>
      <c r="D22" s="107"/>
      <c r="E22" s="107"/>
      <c r="F22" s="108"/>
      <c r="G22" s="112"/>
      <c r="H22" s="129"/>
      <c r="I22" s="62"/>
      <c r="J22" s="63"/>
      <c r="K22" s="59"/>
      <c r="L22" s="53"/>
    </row>
    <row r="23" spans="2:12" x14ac:dyDescent="0.25">
      <c r="B23" s="100"/>
      <c r="C23" s="95" t="s">
        <v>37</v>
      </c>
      <c r="D23" s="109"/>
      <c r="E23" s="109"/>
      <c r="F23" s="109"/>
      <c r="G23" s="110"/>
      <c r="H23" s="110"/>
      <c r="I23" s="11"/>
      <c r="J23" s="52"/>
      <c r="L23" s="53"/>
    </row>
    <row r="24" spans="2:12" x14ac:dyDescent="0.25">
      <c r="B24" s="100"/>
      <c r="C24" s="95" t="s">
        <v>83</v>
      </c>
      <c r="D24" s="109"/>
      <c r="E24" s="109"/>
      <c r="F24" s="109"/>
      <c r="G24" s="110"/>
      <c r="H24" s="110"/>
      <c r="I24" s="11"/>
      <c r="J24" s="52"/>
      <c r="L24" s="53"/>
    </row>
    <row r="25" spans="2:12" x14ac:dyDescent="0.25">
      <c r="B25" s="100"/>
      <c r="C25" s="95"/>
      <c r="D25" s="109"/>
      <c r="E25" s="109"/>
      <c r="F25" s="109"/>
      <c r="G25" s="110"/>
      <c r="H25" s="110"/>
      <c r="I25" s="11"/>
      <c r="J25" s="52"/>
      <c r="L25" s="53"/>
    </row>
    <row r="26" spans="2:12" x14ac:dyDescent="0.25">
      <c r="B26" s="100"/>
      <c r="C26" s="95"/>
      <c r="D26" s="109"/>
      <c r="E26" s="109"/>
      <c r="F26" s="109"/>
      <c r="G26" s="110"/>
      <c r="H26" s="110"/>
      <c r="I26" s="11"/>
      <c r="J26" s="52"/>
      <c r="L26" s="53"/>
    </row>
    <row r="27" spans="2:12" x14ac:dyDescent="0.25">
      <c r="B27" s="100"/>
      <c r="C27" s="56" t="s">
        <v>8</v>
      </c>
      <c r="D27" s="104"/>
      <c r="E27" s="104"/>
      <c r="F27" s="104"/>
      <c r="G27" s="105"/>
      <c r="H27" s="105"/>
      <c r="I27" s="11"/>
      <c r="J27" s="113"/>
      <c r="K27" s="24"/>
      <c r="L27" s="53"/>
    </row>
    <row r="28" spans="2:12" x14ac:dyDescent="0.25">
      <c r="B28" s="100"/>
      <c r="C28" s="54" t="s">
        <v>7</v>
      </c>
      <c r="D28" s="102"/>
      <c r="E28" s="102"/>
      <c r="F28" s="102"/>
      <c r="G28" s="103"/>
      <c r="H28" s="103"/>
      <c r="I28" s="11"/>
      <c r="J28" s="113"/>
      <c r="K28" s="24"/>
      <c r="L28" s="53"/>
    </row>
    <row r="29" spans="2:12" x14ac:dyDescent="0.25">
      <c r="B29" s="101"/>
      <c r="C29" s="66"/>
      <c r="D29" s="67"/>
      <c r="E29" s="67"/>
      <c r="F29" s="67"/>
      <c r="G29" s="111"/>
      <c r="H29" s="111"/>
      <c r="I29" s="10"/>
      <c r="J29" s="114" t="s">
        <v>6</v>
      </c>
      <c r="K29" s="72" t="s">
        <v>5</v>
      </c>
      <c r="L29" s="69">
        <f>SUM(L9:L28)</f>
        <v>23600</v>
      </c>
    </row>
    <row r="30" spans="2:12" ht="35.25" customHeight="1" x14ac:dyDescent="0.25">
      <c r="B30" s="88" t="s">
        <v>4</v>
      </c>
      <c r="C30" s="717" t="s">
        <v>291</v>
      </c>
      <c r="D30" s="718"/>
      <c r="E30" s="718"/>
      <c r="F30" s="718"/>
      <c r="G30" s="718"/>
      <c r="H30" s="718"/>
      <c r="I30" s="718"/>
      <c r="J30" s="718"/>
      <c r="K30" s="718"/>
      <c r="L30" s="719"/>
    </row>
    <row r="31" spans="2:12" ht="15.75" customHeight="1" x14ac:dyDescent="0.25">
      <c r="B31" s="136"/>
      <c r="C31" s="215"/>
      <c r="D31" s="216"/>
      <c r="E31" s="216"/>
      <c r="F31" s="216"/>
      <c r="G31" s="216"/>
      <c r="H31" s="216"/>
      <c r="I31" s="216"/>
      <c r="J31" s="216"/>
      <c r="K31" s="216"/>
      <c r="L31" s="217"/>
    </row>
    <row r="32" spans="2:12" x14ac:dyDescent="0.25">
      <c r="B32" s="73"/>
      <c r="C32" s="445"/>
      <c r="D32" s="444"/>
      <c r="E32" s="444"/>
      <c r="F32" s="444"/>
      <c r="G32" s="444"/>
      <c r="H32" s="441" t="s">
        <v>3</v>
      </c>
      <c r="I32" s="442"/>
      <c r="J32" s="442"/>
      <c r="K32" s="442"/>
      <c r="L32" s="443"/>
    </row>
    <row r="33" spans="2:12" x14ac:dyDescent="0.25">
      <c r="B33" s="25"/>
      <c r="C33" s="450"/>
      <c r="D33" s="480"/>
      <c r="E33" s="480"/>
      <c r="F33" s="480"/>
      <c r="G33" s="451"/>
      <c r="H33" s="454"/>
      <c r="I33" s="455"/>
      <c r="J33" s="455"/>
      <c r="K33" s="455"/>
      <c r="L33" s="456"/>
    </row>
    <row r="34" spans="2:12" x14ac:dyDescent="0.25">
      <c r="B34" s="78" t="s">
        <v>2</v>
      </c>
      <c r="C34" s="452"/>
      <c r="D34" s="481"/>
      <c r="E34" s="481"/>
      <c r="F34" s="481"/>
      <c r="G34" s="453"/>
      <c r="H34" s="457"/>
      <c r="I34" s="458"/>
      <c r="J34" s="458"/>
      <c r="K34" s="458"/>
      <c r="L34" s="459"/>
    </row>
    <row r="35" spans="2:12" ht="15.75" customHeight="1" x14ac:dyDescent="0.25">
      <c r="B35" s="78" t="s">
        <v>1</v>
      </c>
      <c r="C35" s="440" t="s">
        <v>216</v>
      </c>
      <c r="D35" s="440"/>
      <c r="E35" s="440"/>
      <c r="F35" s="440"/>
      <c r="G35" s="440"/>
      <c r="H35" s="441" t="s">
        <v>272</v>
      </c>
      <c r="I35" s="442"/>
      <c r="J35" s="442"/>
      <c r="K35" s="442"/>
      <c r="L35" s="443"/>
    </row>
    <row r="36" spans="2:12" x14ac:dyDescent="0.25">
      <c r="B36" s="83" t="s">
        <v>0</v>
      </c>
      <c r="C36" s="444" t="s">
        <v>289</v>
      </c>
      <c r="D36" s="444"/>
      <c r="E36" s="444"/>
      <c r="F36" s="444"/>
      <c r="G36" s="444"/>
      <c r="H36" s="445" t="s">
        <v>32</v>
      </c>
      <c r="I36" s="444"/>
      <c r="J36" s="444"/>
      <c r="K36" s="444"/>
      <c r="L36" s="446"/>
    </row>
  </sheetData>
  <mergeCells count="17">
    <mergeCell ref="C36:G36"/>
    <mergeCell ref="H36:L36"/>
    <mergeCell ref="C32:G32"/>
    <mergeCell ref="H32:L32"/>
    <mergeCell ref="C33:G34"/>
    <mergeCell ref="H33:L34"/>
    <mergeCell ref="C35:G35"/>
    <mergeCell ref="H35:L35"/>
    <mergeCell ref="C10:G11"/>
    <mergeCell ref="C30:L30"/>
    <mergeCell ref="B1:L1"/>
    <mergeCell ref="B2:L2"/>
    <mergeCell ref="B3:L3"/>
    <mergeCell ref="B4:L4"/>
    <mergeCell ref="C6:H6"/>
    <mergeCell ref="C8:G8"/>
    <mergeCell ref="K8:L8"/>
  </mergeCells>
  <pageMargins left="0.23622047244094491" right="0.23622047244094491" top="1.1417322834645669" bottom="0.74803149606299213" header="0.31496062992125984" footer="0.31496062992125984"/>
  <pageSetup paperSize="9" scale="74" fitToHeight="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L34"/>
  <sheetViews>
    <sheetView view="pageBreakPreview" topLeftCell="A13" zoomScaleNormal="100" zoomScaleSheetLayoutView="100" workbookViewId="0">
      <selection activeCell="J18" sqref="J18"/>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22" t="s">
        <v>28</v>
      </c>
      <c r="C1" s="422"/>
      <c r="D1" s="422"/>
      <c r="E1" s="422"/>
      <c r="F1" s="422"/>
      <c r="G1" s="422"/>
      <c r="H1" s="422"/>
      <c r="I1" s="422"/>
      <c r="J1" s="422"/>
      <c r="K1" s="422"/>
      <c r="L1" s="422"/>
    </row>
    <row r="2" spans="2:12" ht="18" x14ac:dyDescent="0.25">
      <c r="B2" s="423" t="s">
        <v>27</v>
      </c>
      <c r="C2" s="423"/>
      <c r="D2" s="423"/>
      <c r="E2" s="423"/>
      <c r="F2" s="423"/>
      <c r="G2" s="423"/>
      <c r="H2" s="423"/>
      <c r="I2" s="423"/>
      <c r="J2" s="423"/>
      <c r="K2" s="423"/>
      <c r="L2" s="423"/>
    </row>
    <row r="3" spans="2:12" ht="83.25" customHeight="1" x14ac:dyDescent="0.4">
      <c r="B3" s="424" t="s">
        <v>56</v>
      </c>
      <c r="C3" s="425"/>
      <c r="D3" s="425"/>
      <c r="E3" s="425"/>
      <c r="F3" s="425"/>
      <c r="G3" s="425"/>
      <c r="H3" s="425"/>
      <c r="I3" s="425"/>
      <c r="J3" s="425"/>
      <c r="K3" s="425"/>
      <c r="L3" s="425"/>
    </row>
    <row r="4" spans="2:12" x14ac:dyDescent="0.25">
      <c r="B4" s="426"/>
      <c r="C4" s="426"/>
      <c r="D4" s="426"/>
      <c r="E4" s="426"/>
      <c r="F4" s="426"/>
      <c r="G4" s="426"/>
      <c r="H4" s="426"/>
      <c r="I4" s="426"/>
      <c r="J4" s="426"/>
      <c r="K4" s="426"/>
      <c r="L4" s="426"/>
    </row>
    <row r="5" spans="2:12" x14ac:dyDescent="0.25">
      <c r="B5" s="31"/>
      <c r="C5" s="30"/>
      <c r="D5" s="38"/>
      <c r="E5" s="38"/>
      <c r="F5" s="38"/>
      <c r="G5" s="38"/>
      <c r="H5" s="38"/>
      <c r="I5" s="29" t="s">
        <v>269</v>
      </c>
      <c r="J5" s="39"/>
      <c r="K5" s="27"/>
      <c r="L5" s="40" t="s">
        <v>284</v>
      </c>
    </row>
    <row r="6" spans="2:12" x14ac:dyDescent="0.25">
      <c r="B6" s="25" t="s">
        <v>26</v>
      </c>
      <c r="C6" s="427" t="s">
        <v>30</v>
      </c>
      <c r="D6" s="427"/>
      <c r="E6" s="427"/>
      <c r="F6" s="427"/>
      <c r="G6" s="427"/>
      <c r="H6" s="427"/>
      <c r="I6" s="24" t="s">
        <v>25</v>
      </c>
      <c r="L6" s="42" t="s">
        <v>22</v>
      </c>
    </row>
    <row r="7" spans="2:12" x14ac:dyDescent="0.25">
      <c r="B7" s="22" t="s">
        <v>24</v>
      </c>
      <c r="C7" s="72" t="s">
        <v>47</v>
      </c>
      <c r="D7" s="71"/>
      <c r="E7" s="71"/>
      <c r="F7" s="71"/>
      <c r="G7" s="71"/>
      <c r="H7" s="71"/>
      <c r="I7" s="20" t="s">
        <v>23</v>
      </c>
      <c r="J7" s="43"/>
      <c r="K7" s="13"/>
      <c r="L7" s="44" t="s">
        <v>22</v>
      </c>
    </row>
    <row r="8" spans="2:12" ht="30.75" x14ac:dyDescent="0.25">
      <c r="B8" s="45" t="s">
        <v>29</v>
      </c>
      <c r="C8" s="428" t="s">
        <v>19</v>
      </c>
      <c r="D8" s="462"/>
      <c r="E8" s="462"/>
      <c r="F8" s="462"/>
      <c r="G8" s="462"/>
      <c r="H8" s="46" t="s">
        <v>21</v>
      </c>
      <c r="I8" s="33" t="s">
        <v>20</v>
      </c>
      <c r="J8" s="47" t="s">
        <v>18</v>
      </c>
      <c r="K8" s="430" t="s">
        <v>17</v>
      </c>
      <c r="L8" s="431"/>
    </row>
    <row r="9" spans="2:12" x14ac:dyDescent="0.25">
      <c r="B9" s="31"/>
      <c r="C9" s="48"/>
      <c r="D9" s="49"/>
      <c r="E9" s="49"/>
      <c r="F9" s="49"/>
      <c r="G9" s="130"/>
      <c r="H9" s="130"/>
      <c r="I9" s="12"/>
      <c r="J9" s="50"/>
      <c r="K9" s="27"/>
      <c r="L9" s="51"/>
    </row>
    <row r="10" spans="2:12" ht="18" customHeight="1" x14ac:dyDescent="0.25">
      <c r="B10" s="100"/>
      <c r="C10" s="432" t="s">
        <v>293</v>
      </c>
      <c r="D10" s="482"/>
      <c r="E10" s="482"/>
      <c r="F10" s="482"/>
      <c r="G10" s="433"/>
      <c r="H10" s="115">
        <v>1</v>
      </c>
      <c r="I10" s="78" t="s">
        <v>46</v>
      </c>
      <c r="J10" s="113"/>
      <c r="K10" s="24"/>
      <c r="L10" s="119">
        <f>J10*H10</f>
        <v>0</v>
      </c>
    </row>
    <row r="11" spans="2:12" ht="29.25" customHeight="1" x14ac:dyDescent="0.25">
      <c r="B11" s="100"/>
      <c r="C11" s="432"/>
      <c r="D11" s="482"/>
      <c r="E11" s="482"/>
      <c r="F11" s="482"/>
      <c r="G11" s="433"/>
      <c r="H11" s="116"/>
      <c r="I11" s="11"/>
      <c r="J11" s="52"/>
      <c r="L11" s="53"/>
    </row>
    <row r="12" spans="2:12" x14ac:dyDescent="0.25">
      <c r="B12" s="100"/>
      <c r="C12" s="54"/>
      <c r="D12" s="102"/>
      <c r="E12" s="102"/>
      <c r="F12" s="102"/>
      <c r="G12" s="103"/>
      <c r="H12" s="103"/>
      <c r="I12" s="11"/>
      <c r="J12" s="52"/>
      <c r="L12" s="53"/>
    </row>
    <row r="13" spans="2:12" x14ac:dyDescent="0.25">
      <c r="B13" s="100"/>
      <c r="C13" s="56" t="s">
        <v>294</v>
      </c>
      <c r="D13" s="104"/>
      <c r="E13" s="104"/>
      <c r="F13" s="104"/>
      <c r="G13" s="105"/>
      <c r="H13" s="105"/>
      <c r="I13" s="11"/>
      <c r="J13" s="52"/>
      <c r="L13" s="53"/>
    </row>
    <row r="14" spans="2:12" x14ac:dyDescent="0.25">
      <c r="B14" s="100"/>
      <c r="C14" s="106" t="s">
        <v>295</v>
      </c>
      <c r="D14" s="102"/>
      <c r="E14" s="102"/>
      <c r="F14" s="102"/>
      <c r="G14" s="103"/>
      <c r="H14" s="103"/>
      <c r="I14" s="11"/>
      <c r="J14" s="52">
        <v>4000</v>
      </c>
      <c r="L14" s="226">
        <f>J14</f>
        <v>4000</v>
      </c>
    </row>
    <row r="15" spans="2:12" x14ac:dyDescent="0.25">
      <c r="B15" s="100"/>
      <c r="C15" s="106" t="s">
        <v>296</v>
      </c>
      <c r="D15" s="102"/>
      <c r="E15" s="102"/>
      <c r="F15" s="102"/>
      <c r="G15" s="103"/>
      <c r="H15" s="103"/>
      <c r="I15" s="11"/>
      <c r="J15" s="52">
        <v>6000</v>
      </c>
      <c r="L15" s="226">
        <f t="shared" ref="L15:L17" si="0">J15</f>
        <v>6000</v>
      </c>
    </row>
    <row r="16" spans="2:12" x14ac:dyDescent="0.25">
      <c r="B16" s="100"/>
      <c r="C16" s="106" t="s">
        <v>297</v>
      </c>
      <c r="D16" s="102"/>
      <c r="E16" s="102"/>
      <c r="F16" s="102"/>
      <c r="G16" s="103"/>
      <c r="H16" s="103"/>
      <c r="I16" s="11"/>
      <c r="J16" s="52">
        <v>6000</v>
      </c>
      <c r="L16" s="226">
        <f t="shared" si="0"/>
        <v>6000</v>
      </c>
    </row>
    <row r="17" spans="2:12" x14ac:dyDescent="0.25">
      <c r="B17" s="100"/>
      <c r="C17" s="106"/>
      <c r="D17" s="102"/>
      <c r="E17" s="102"/>
      <c r="F17" s="102"/>
      <c r="G17" s="103"/>
      <c r="H17" s="103"/>
      <c r="I17" s="11"/>
      <c r="J17" s="52"/>
      <c r="L17" s="226">
        <f t="shared" si="0"/>
        <v>0</v>
      </c>
    </row>
    <row r="18" spans="2:12" s="124" customFormat="1" x14ac:dyDescent="0.25">
      <c r="B18" s="120"/>
      <c r="C18" s="132"/>
      <c r="D18" s="108"/>
      <c r="E18" s="108"/>
      <c r="F18" s="108"/>
      <c r="G18" s="112"/>
      <c r="H18" s="112"/>
      <c r="I18" s="126"/>
      <c r="J18" s="127"/>
      <c r="K18" s="128"/>
      <c r="L18" s="125"/>
    </row>
    <row r="19" spans="2:12" x14ac:dyDescent="0.25">
      <c r="B19" s="100"/>
      <c r="C19" s="96"/>
      <c r="D19" s="107"/>
      <c r="E19" s="107"/>
      <c r="F19" s="108"/>
      <c r="G19" s="112"/>
      <c r="H19" s="129"/>
      <c r="I19" s="62"/>
      <c r="J19" s="63"/>
      <c r="K19" s="59"/>
      <c r="L19" s="53"/>
    </row>
    <row r="20" spans="2:12" x14ac:dyDescent="0.25">
      <c r="B20" s="100"/>
      <c r="C20" s="95"/>
      <c r="D20" s="107"/>
      <c r="E20" s="107"/>
      <c r="F20" s="108"/>
      <c r="G20" s="112"/>
      <c r="H20" s="129"/>
      <c r="I20" s="62"/>
      <c r="J20" s="63"/>
      <c r="K20" s="59"/>
      <c r="L20" s="53"/>
    </row>
    <row r="21" spans="2:12" x14ac:dyDescent="0.25">
      <c r="B21" s="100"/>
      <c r="C21" s="95"/>
      <c r="D21" s="107"/>
      <c r="E21" s="107"/>
      <c r="F21" s="108"/>
      <c r="G21" s="112"/>
      <c r="H21" s="129"/>
      <c r="I21" s="62"/>
      <c r="J21" s="63"/>
      <c r="K21" s="59"/>
      <c r="L21" s="53"/>
    </row>
    <row r="22" spans="2:12" x14ac:dyDescent="0.25">
      <c r="B22" s="100"/>
      <c r="C22" s="95"/>
      <c r="D22" s="107"/>
      <c r="E22" s="107"/>
      <c r="F22" s="108"/>
      <c r="G22" s="112"/>
      <c r="H22" s="129"/>
      <c r="I22" s="62"/>
      <c r="J22" s="63"/>
      <c r="K22" s="59"/>
      <c r="L22" s="53"/>
    </row>
    <row r="23" spans="2:12" x14ac:dyDescent="0.25">
      <c r="B23" s="100"/>
      <c r="C23" s="95"/>
      <c r="D23" s="107"/>
      <c r="E23" s="107"/>
      <c r="F23" s="108"/>
      <c r="G23" s="112"/>
      <c r="H23" s="129"/>
      <c r="I23" s="62"/>
      <c r="J23" s="63"/>
      <c r="K23" s="59"/>
      <c r="L23" s="53"/>
    </row>
    <row r="24" spans="2:12" x14ac:dyDescent="0.25">
      <c r="B24" s="100"/>
      <c r="C24" s="95"/>
      <c r="D24" s="109"/>
      <c r="E24" s="109"/>
      <c r="F24" s="109"/>
      <c r="G24" s="110"/>
      <c r="H24" s="110"/>
      <c r="I24" s="11"/>
      <c r="J24" s="52"/>
      <c r="L24" s="53"/>
    </row>
    <row r="25" spans="2:12" x14ac:dyDescent="0.25">
      <c r="B25" s="100"/>
      <c r="C25" s="56"/>
      <c r="D25" s="104"/>
      <c r="E25" s="104"/>
      <c r="F25" s="104"/>
      <c r="G25" s="105"/>
      <c r="H25" s="105"/>
      <c r="I25" s="11"/>
      <c r="J25" s="113"/>
      <c r="K25" s="24"/>
      <c r="L25" s="53"/>
    </row>
    <row r="26" spans="2:12" x14ac:dyDescent="0.25">
      <c r="B26" s="100"/>
      <c r="C26" s="54"/>
      <c r="D26" s="102"/>
      <c r="E26" s="102"/>
      <c r="F26" s="102"/>
      <c r="G26" s="103"/>
      <c r="H26" s="103"/>
      <c r="I26" s="11"/>
      <c r="J26" s="113"/>
      <c r="K26" s="24"/>
      <c r="L26" s="53"/>
    </row>
    <row r="27" spans="2:12" x14ac:dyDescent="0.25">
      <c r="B27" s="101"/>
      <c r="C27" s="66"/>
      <c r="D27" s="67"/>
      <c r="E27" s="67"/>
      <c r="F27" s="67"/>
      <c r="G27" s="111"/>
      <c r="H27" s="111"/>
      <c r="I27" s="10"/>
      <c r="J27" s="114" t="s">
        <v>6</v>
      </c>
      <c r="K27" s="72" t="s">
        <v>5</v>
      </c>
      <c r="L27" s="69">
        <f>SUM(L9:L26)</f>
        <v>16000</v>
      </c>
    </row>
    <row r="28" spans="2:12" ht="35.25" customHeight="1" x14ac:dyDescent="0.25">
      <c r="B28" s="88" t="s">
        <v>4</v>
      </c>
      <c r="C28" s="717" t="s">
        <v>293</v>
      </c>
      <c r="D28" s="718"/>
      <c r="E28" s="718"/>
      <c r="F28" s="718"/>
      <c r="G28" s="718"/>
      <c r="H28" s="718"/>
      <c r="I28" s="718"/>
      <c r="J28" s="718"/>
      <c r="K28" s="718"/>
      <c r="L28" s="719"/>
    </row>
    <row r="29" spans="2:12" ht="15.75" customHeight="1" x14ac:dyDescent="0.25">
      <c r="B29" s="136"/>
      <c r="C29" s="215"/>
      <c r="D29" s="216"/>
      <c r="E29" s="216"/>
      <c r="F29" s="216"/>
      <c r="G29" s="216"/>
      <c r="H29" s="216"/>
      <c r="I29" s="216"/>
      <c r="J29" s="216"/>
      <c r="K29" s="216"/>
      <c r="L29" s="217"/>
    </row>
    <row r="30" spans="2:12" x14ac:dyDescent="0.25">
      <c r="B30" s="73"/>
      <c r="C30" s="445"/>
      <c r="D30" s="444"/>
      <c r="E30" s="444"/>
      <c r="F30" s="444"/>
      <c r="G30" s="444"/>
      <c r="H30" s="441" t="s">
        <v>3</v>
      </c>
      <c r="I30" s="442"/>
      <c r="J30" s="442"/>
      <c r="K30" s="442"/>
      <c r="L30" s="443"/>
    </row>
    <row r="31" spans="2:12" x14ac:dyDescent="0.25">
      <c r="B31" s="25"/>
      <c r="C31" s="450"/>
      <c r="D31" s="480"/>
      <c r="E31" s="480"/>
      <c r="F31" s="480"/>
      <c r="G31" s="451"/>
      <c r="H31" s="454"/>
      <c r="I31" s="455"/>
      <c r="J31" s="455"/>
      <c r="K31" s="455"/>
      <c r="L31" s="456"/>
    </row>
    <row r="32" spans="2:12" x14ac:dyDescent="0.25">
      <c r="B32" s="78" t="s">
        <v>2</v>
      </c>
      <c r="C32" s="452"/>
      <c r="D32" s="481"/>
      <c r="E32" s="481"/>
      <c r="F32" s="481"/>
      <c r="G32" s="453"/>
      <c r="H32" s="457"/>
      <c r="I32" s="458"/>
      <c r="J32" s="458"/>
      <c r="K32" s="458"/>
      <c r="L32" s="459"/>
    </row>
    <row r="33" spans="2:12" ht="15.75" customHeight="1" x14ac:dyDescent="0.25">
      <c r="B33" s="78" t="s">
        <v>1</v>
      </c>
      <c r="C33" s="440" t="s">
        <v>216</v>
      </c>
      <c r="D33" s="440"/>
      <c r="E33" s="440"/>
      <c r="F33" s="440"/>
      <c r="G33" s="440"/>
      <c r="H33" s="441" t="s">
        <v>272</v>
      </c>
      <c r="I33" s="442"/>
      <c r="J33" s="442"/>
      <c r="K33" s="442"/>
      <c r="L33" s="443"/>
    </row>
    <row r="34" spans="2:12" x14ac:dyDescent="0.25">
      <c r="B34" s="83" t="s">
        <v>0</v>
      </c>
      <c r="C34" s="444" t="s">
        <v>289</v>
      </c>
      <c r="D34" s="444"/>
      <c r="E34" s="444"/>
      <c r="F34" s="444"/>
      <c r="G34" s="444"/>
      <c r="H34" s="445" t="s">
        <v>32</v>
      </c>
      <c r="I34" s="444"/>
      <c r="J34" s="444"/>
      <c r="K34" s="444"/>
      <c r="L34" s="446"/>
    </row>
  </sheetData>
  <mergeCells count="17">
    <mergeCell ref="C33:G33"/>
    <mergeCell ref="H33:L33"/>
    <mergeCell ref="C34:G34"/>
    <mergeCell ref="H34:L34"/>
    <mergeCell ref="C10:G11"/>
    <mergeCell ref="C28:L28"/>
    <mergeCell ref="C30:G30"/>
    <mergeCell ref="H30:L30"/>
    <mergeCell ref="C31:G32"/>
    <mergeCell ref="H31:L32"/>
    <mergeCell ref="C8:G8"/>
    <mergeCell ref="K8:L8"/>
    <mergeCell ref="B1:L1"/>
    <mergeCell ref="B2:L2"/>
    <mergeCell ref="B3:L3"/>
    <mergeCell ref="B4:L4"/>
    <mergeCell ref="C6:H6"/>
  </mergeCells>
  <pageMargins left="0.23622047244094491" right="0.23622047244094491" top="1.1417322834645669" bottom="0.74803149606299213" header="0.31496062992125984" footer="0.31496062992125984"/>
  <pageSetup paperSize="9" scale="74" fitToHeight="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L54"/>
  <sheetViews>
    <sheetView topLeftCell="B1" zoomScaleNormal="100" zoomScaleSheetLayoutView="44" workbookViewId="0">
      <selection activeCell="H57" sqref="H57"/>
    </sheetView>
  </sheetViews>
  <sheetFormatPr defaultRowHeight="15.75" x14ac:dyDescent="0.25"/>
  <cols>
    <col min="1" max="1" width="1.42578125" style="1" hidden="1" customWidth="1"/>
    <col min="2" max="2" width="14.5703125" style="1" customWidth="1"/>
    <col min="3" max="3" width="12.28515625" style="3" customWidth="1"/>
    <col min="4" max="4" width="12.28515625" style="5" customWidth="1"/>
    <col min="5" max="5" width="16.7109375" style="5" customWidth="1"/>
    <col min="6" max="6" width="12.28515625" style="5" customWidth="1"/>
    <col min="7" max="7" width="14.5703125" style="5" customWidth="1"/>
    <col min="8" max="8" width="9.28515625" style="5" customWidth="1"/>
    <col min="9" max="9" width="10.42578125" style="1" customWidth="1"/>
    <col min="10" max="10" width="13" style="41" customWidth="1"/>
    <col min="11" max="11" width="3.7109375" style="1" customWidth="1"/>
    <col min="12" max="12" width="20.42578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ht="16.5" thickBot="1" x14ac:dyDescent="0.3">
      <c r="B1" s="608" t="s">
        <v>28</v>
      </c>
      <c r="C1" s="608"/>
      <c r="D1" s="608"/>
      <c r="E1" s="608"/>
      <c r="F1" s="608"/>
      <c r="G1" s="608"/>
      <c r="H1" s="608"/>
      <c r="I1" s="608"/>
      <c r="J1" s="608"/>
      <c r="K1" s="608"/>
      <c r="L1" s="608"/>
    </row>
    <row r="2" spans="2:12" ht="18" x14ac:dyDescent="0.25">
      <c r="B2" s="724" t="s">
        <v>27</v>
      </c>
      <c r="C2" s="725"/>
      <c r="D2" s="725"/>
      <c r="E2" s="725"/>
      <c r="F2" s="725"/>
      <c r="G2" s="725"/>
      <c r="H2" s="725"/>
      <c r="I2" s="725"/>
      <c r="J2" s="725"/>
      <c r="K2" s="725"/>
      <c r="L2" s="726"/>
    </row>
    <row r="3" spans="2:12" ht="83.25" customHeight="1" x14ac:dyDescent="0.4">
      <c r="B3" s="727" t="s">
        <v>39</v>
      </c>
      <c r="C3" s="425"/>
      <c r="D3" s="425"/>
      <c r="E3" s="425"/>
      <c r="F3" s="425"/>
      <c r="G3" s="425"/>
      <c r="H3" s="425"/>
      <c r="I3" s="425"/>
      <c r="J3" s="425"/>
      <c r="K3" s="425"/>
      <c r="L3" s="728"/>
    </row>
    <row r="4" spans="2:12" x14ac:dyDescent="0.25">
      <c r="B4" s="729"/>
      <c r="C4" s="426"/>
      <c r="D4" s="426"/>
      <c r="E4" s="426"/>
      <c r="F4" s="426"/>
      <c r="G4" s="426"/>
      <c r="H4" s="426"/>
      <c r="I4" s="426"/>
      <c r="J4" s="426"/>
      <c r="K4" s="426"/>
      <c r="L4" s="730"/>
    </row>
    <row r="5" spans="2:12" x14ac:dyDescent="0.25">
      <c r="B5" s="175"/>
      <c r="C5" s="30"/>
      <c r="D5" s="38"/>
      <c r="E5" s="38"/>
      <c r="F5" s="38"/>
      <c r="G5" s="38"/>
      <c r="H5" s="38"/>
      <c r="I5" s="29" t="s">
        <v>57</v>
      </c>
      <c r="J5" s="39"/>
      <c r="K5" s="27"/>
      <c r="L5" s="176" t="s">
        <v>93</v>
      </c>
    </row>
    <row r="6" spans="2:12" x14ac:dyDescent="0.25">
      <c r="B6" s="177" t="s">
        <v>26</v>
      </c>
      <c r="C6" s="427" t="s">
        <v>30</v>
      </c>
      <c r="D6" s="427"/>
      <c r="E6" s="427"/>
      <c r="F6" s="427"/>
      <c r="G6" s="427"/>
      <c r="H6" s="427"/>
      <c r="I6" s="24" t="s">
        <v>25</v>
      </c>
      <c r="J6" s="169"/>
      <c r="L6" s="178" t="s">
        <v>22</v>
      </c>
    </row>
    <row r="7" spans="2:12" x14ac:dyDescent="0.25">
      <c r="B7" s="179" t="s">
        <v>24</v>
      </c>
      <c r="C7" s="72" t="s">
        <v>47</v>
      </c>
      <c r="D7" s="71"/>
      <c r="E7" s="71"/>
      <c r="F7" s="71"/>
      <c r="G7" s="71"/>
      <c r="H7" s="71"/>
      <c r="I7" s="20" t="s">
        <v>23</v>
      </c>
      <c r="J7" s="43"/>
      <c r="K7" s="13"/>
      <c r="L7" s="180" t="s">
        <v>22</v>
      </c>
    </row>
    <row r="8" spans="2:12" ht="30.75" x14ac:dyDescent="0.25">
      <c r="B8" s="181" t="s">
        <v>29</v>
      </c>
      <c r="C8" s="428" t="s">
        <v>19</v>
      </c>
      <c r="D8" s="462"/>
      <c r="E8" s="462"/>
      <c r="F8" s="462"/>
      <c r="G8" s="429"/>
      <c r="H8" s="143" t="s">
        <v>21</v>
      </c>
      <c r="I8" s="33" t="s">
        <v>20</v>
      </c>
      <c r="J8" s="47" t="s">
        <v>18</v>
      </c>
      <c r="K8" s="430" t="s">
        <v>17</v>
      </c>
      <c r="L8" s="723"/>
    </row>
    <row r="9" spans="2:12" x14ac:dyDescent="0.25">
      <c r="B9" s="182"/>
      <c r="C9" s="539" t="s">
        <v>94</v>
      </c>
      <c r="D9" s="540"/>
      <c r="E9" s="540"/>
      <c r="F9" s="540"/>
      <c r="G9" s="541"/>
      <c r="H9" s="103"/>
      <c r="I9" s="11"/>
      <c r="J9" s="52"/>
      <c r="L9" s="183"/>
    </row>
    <row r="10" spans="2:12" ht="43.5" customHeight="1" x14ac:dyDescent="0.25">
      <c r="B10" s="182"/>
      <c r="C10" s="542"/>
      <c r="D10" s="543"/>
      <c r="E10" s="543"/>
      <c r="F10" s="543"/>
      <c r="G10" s="544"/>
      <c r="H10" s="103"/>
      <c r="I10" s="11"/>
      <c r="J10" s="52"/>
      <c r="L10" s="183"/>
    </row>
    <row r="11" spans="2:12" ht="21" customHeight="1" x14ac:dyDescent="0.25">
      <c r="B11" s="182"/>
      <c r="C11" s="60" t="s">
        <v>21</v>
      </c>
      <c r="D11" s="469" t="s">
        <v>41</v>
      </c>
      <c r="E11" s="469"/>
      <c r="F11" s="469" t="s">
        <v>42</v>
      </c>
      <c r="G11" s="469"/>
      <c r="H11" s="129"/>
      <c r="I11" s="11"/>
      <c r="J11" s="52"/>
      <c r="K11" s="59"/>
      <c r="L11" s="183"/>
    </row>
    <row r="12" spans="2:12" ht="44.25" customHeight="1" x14ac:dyDescent="0.25">
      <c r="B12" s="182"/>
      <c r="C12" s="60">
        <v>26</v>
      </c>
      <c r="D12" s="635" t="s">
        <v>76</v>
      </c>
      <c r="E12" s="636"/>
      <c r="F12" s="699" t="s">
        <v>58</v>
      </c>
      <c r="G12" s="707"/>
      <c r="H12" s="129">
        <v>26</v>
      </c>
      <c r="I12" s="11" t="s">
        <v>53</v>
      </c>
      <c r="J12" s="52">
        <v>2600</v>
      </c>
      <c r="K12" s="59"/>
      <c r="L12" s="184">
        <f>H12*J12</f>
        <v>67600</v>
      </c>
    </row>
    <row r="13" spans="2:12" ht="45.75" customHeight="1" x14ac:dyDescent="0.25">
      <c r="B13" s="182"/>
      <c r="C13" s="152">
        <v>33</v>
      </c>
      <c r="D13" s="635" t="s">
        <v>77</v>
      </c>
      <c r="E13" s="636"/>
      <c r="F13" s="699" t="s">
        <v>58</v>
      </c>
      <c r="G13" s="707"/>
      <c r="H13" s="129">
        <v>33</v>
      </c>
      <c r="I13" s="11" t="s">
        <v>53</v>
      </c>
      <c r="J13" s="52">
        <v>2500</v>
      </c>
      <c r="K13" s="59"/>
      <c r="L13" s="184">
        <f>H13*J13</f>
        <v>82500</v>
      </c>
    </row>
    <row r="14" spans="2:12" ht="27.75" customHeight="1" x14ac:dyDescent="0.25">
      <c r="B14" s="182"/>
      <c r="C14" s="152">
        <v>66</v>
      </c>
      <c r="D14" s="635" t="s">
        <v>72</v>
      </c>
      <c r="E14" s="636"/>
      <c r="F14" s="699" t="s">
        <v>58</v>
      </c>
      <c r="G14" s="707"/>
      <c r="H14" s="129">
        <v>66</v>
      </c>
      <c r="I14" s="11" t="s">
        <v>53</v>
      </c>
      <c r="J14" s="52">
        <v>150</v>
      </c>
      <c r="K14" s="59"/>
      <c r="L14" s="184">
        <f>H14*J14</f>
        <v>9900</v>
      </c>
    </row>
    <row r="15" spans="2:12" ht="21" customHeight="1" x14ac:dyDescent="0.25">
      <c r="B15" s="182"/>
      <c r="C15" s="56" t="s">
        <v>40</v>
      </c>
      <c r="D15" s="153"/>
      <c r="E15" s="153"/>
      <c r="F15" s="153"/>
      <c r="G15" s="154"/>
      <c r="H15" s="129"/>
      <c r="I15" s="11"/>
      <c r="J15" s="52"/>
      <c r="K15" s="59"/>
      <c r="L15" s="184"/>
    </row>
    <row r="16" spans="2:12" ht="21" customHeight="1" x14ac:dyDescent="0.25">
      <c r="B16" s="182"/>
      <c r="C16" s="167" t="s">
        <v>73</v>
      </c>
      <c r="D16" s="153"/>
      <c r="E16" s="153"/>
      <c r="F16" s="153"/>
      <c r="G16" s="154"/>
      <c r="H16" s="129"/>
      <c r="I16" s="11"/>
      <c r="J16" s="52"/>
      <c r="K16" s="59"/>
      <c r="L16" s="184"/>
    </row>
    <row r="17" spans="2:12" ht="21" customHeight="1" x14ac:dyDescent="0.25">
      <c r="B17" s="182"/>
      <c r="C17" s="164" t="s">
        <v>59</v>
      </c>
      <c r="D17" s="162"/>
      <c r="E17" s="162"/>
      <c r="F17" s="162"/>
      <c r="G17" s="163"/>
      <c r="H17" s="129"/>
      <c r="I17" s="11"/>
      <c r="J17" s="52"/>
      <c r="K17" s="59"/>
      <c r="L17" s="184"/>
    </row>
    <row r="18" spans="2:12" ht="21" customHeight="1" x14ac:dyDescent="0.25">
      <c r="B18" s="182"/>
      <c r="C18" s="164" t="s">
        <v>60</v>
      </c>
      <c r="D18" s="162"/>
      <c r="E18" s="162"/>
      <c r="F18" s="162"/>
      <c r="G18" s="163"/>
      <c r="H18" s="129"/>
      <c r="I18" s="11"/>
      <c r="J18" s="52"/>
      <c r="K18" s="59"/>
      <c r="L18" s="184"/>
    </row>
    <row r="19" spans="2:12" ht="21" customHeight="1" x14ac:dyDescent="0.25">
      <c r="B19" s="182" t="s">
        <v>50</v>
      </c>
      <c r="C19" s="165"/>
      <c r="D19" s="162"/>
      <c r="E19" s="162"/>
      <c r="F19" s="162"/>
      <c r="G19" s="163"/>
      <c r="H19" s="129"/>
      <c r="I19" s="11"/>
      <c r="J19" s="52"/>
      <c r="K19" s="59"/>
      <c r="L19" s="184"/>
    </row>
    <row r="20" spans="2:12" ht="21" customHeight="1" x14ac:dyDescent="0.25">
      <c r="B20" s="182"/>
      <c r="C20" s="167" t="s">
        <v>61</v>
      </c>
      <c r="D20" s="162"/>
      <c r="E20" s="162"/>
      <c r="F20" s="162"/>
      <c r="G20" s="163"/>
      <c r="H20" s="129"/>
      <c r="I20" s="159"/>
      <c r="J20" s="52"/>
      <c r="K20" s="59"/>
      <c r="L20" s="184"/>
    </row>
    <row r="21" spans="2:12" ht="21" customHeight="1" x14ac:dyDescent="0.25">
      <c r="B21" s="182"/>
      <c r="C21" s="161" t="s">
        <v>62</v>
      </c>
      <c r="D21" s="166"/>
      <c r="E21" s="162"/>
      <c r="F21" s="162"/>
      <c r="G21" s="163"/>
      <c r="H21" s="129"/>
      <c r="I21" s="159"/>
      <c r="J21" s="52"/>
      <c r="K21" s="59"/>
      <c r="L21" s="184"/>
    </row>
    <row r="22" spans="2:12" ht="21" customHeight="1" x14ac:dyDescent="0.25">
      <c r="B22" s="182"/>
      <c r="C22" s="161" t="s">
        <v>63</v>
      </c>
      <c r="D22" s="166"/>
      <c r="E22" s="162"/>
      <c r="F22" s="162"/>
      <c r="G22" s="163"/>
      <c r="H22" s="129"/>
      <c r="I22" s="159"/>
      <c r="J22" s="52"/>
      <c r="K22" s="59"/>
      <c r="L22" s="184"/>
    </row>
    <row r="23" spans="2:12" ht="21" customHeight="1" x14ac:dyDescent="0.25">
      <c r="B23" s="182"/>
      <c r="C23" s="161" t="s">
        <v>69</v>
      </c>
      <c r="D23" s="166"/>
      <c r="E23" s="162"/>
      <c r="F23" s="162"/>
      <c r="G23" s="163"/>
      <c r="H23" s="129"/>
      <c r="I23" s="159"/>
      <c r="J23" s="52"/>
      <c r="K23" s="59"/>
      <c r="L23" s="184"/>
    </row>
    <row r="24" spans="2:12" ht="21" customHeight="1" x14ac:dyDescent="0.25">
      <c r="B24" s="182"/>
      <c r="C24" s="161" t="s">
        <v>70</v>
      </c>
      <c r="D24" s="166"/>
      <c r="E24" s="162"/>
      <c r="F24" s="162"/>
      <c r="G24" s="163"/>
      <c r="H24" s="129"/>
      <c r="I24" s="159"/>
      <c r="J24" s="52"/>
      <c r="K24" s="59"/>
      <c r="L24" s="184"/>
    </row>
    <row r="25" spans="2:12" ht="21" customHeight="1" x14ac:dyDescent="0.25">
      <c r="B25" s="182"/>
      <c r="C25" s="161" t="s">
        <v>64</v>
      </c>
      <c r="D25" s="166"/>
      <c r="E25" s="162"/>
      <c r="F25" s="162"/>
      <c r="G25" s="163"/>
      <c r="H25" s="129"/>
      <c r="I25" s="159"/>
      <c r="J25" s="52"/>
      <c r="K25" s="59"/>
      <c r="L25" s="184"/>
    </row>
    <row r="26" spans="2:12" ht="21" customHeight="1" x14ac:dyDescent="0.25">
      <c r="B26" s="182"/>
      <c r="C26" s="161" t="s">
        <v>65</v>
      </c>
      <c r="D26" s="166"/>
      <c r="E26" s="162"/>
      <c r="F26" s="162"/>
      <c r="G26" s="163"/>
      <c r="H26" s="129"/>
      <c r="I26" s="159"/>
      <c r="J26" s="52"/>
      <c r="K26" s="59"/>
      <c r="L26" s="184"/>
    </row>
    <row r="27" spans="2:12" ht="21" customHeight="1" x14ac:dyDescent="0.25">
      <c r="B27" s="182"/>
      <c r="C27" s="165"/>
      <c r="D27" s="162"/>
      <c r="E27" s="162"/>
      <c r="F27" s="162"/>
      <c r="G27" s="163"/>
      <c r="H27" s="129"/>
      <c r="I27" s="159"/>
      <c r="J27" s="52"/>
      <c r="K27" s="59"/>
      <c r="L27" s="184"/>
    </row>
    <row r="28" spans="2:12" ht="21" customHeight="1" x14ac:dyDescent="0.25">
      <c r="B28" s="182"/>
      <c r="C28" s="167" t="s">
        <v>66</v>
      </c>
      <c r="D28" s="162"/>
      <c r="E28" s="162"/>
      <c r="F28" s="162"/>
      <c r="G28" s="163"/>
      <c r="H28" s="129"/>
      <c r="I28" s="159"/>
      <c r="J28" s="52"/>
      <c r="K28" s="59"/>
      <c r="L28" s="184"/>
    </row>
    <row r="29" spans="2:12" ht="21" customHeight="1" x14ac:dyDescent="0.25">
      <c r="B29" s="182"/>
      <c r="C29" s="161" t="s">
        <v>67</v>
      </c>
      <c r="D29" s="162"/>
      <c r="E29" s="162"/>
      <c r="F29" s="162"/>
      <c r="G29" s="163"/>
      <c r="H29" s="129"/>
      <c r="I29" s="11"/>
      <c r="J29" s="52"/>
      <c r="K29" s="59"/>
      <c r="L29" s="184"/>
    </row>
    <row r="30" spans="2:12" ht="21" customHeight="1" x14ac:dyDescent="0.25">
      <c r="B30" s="182"/>
      <c r="C30" s="161" t="s">
        <v>63</v>
      </c>
      <c r="D30" s="166"/>
      <c r="E30" s="162"/>
      <c r="F30" s="162"/>
      <c r="G30" s="163"/>
      <c r="H30" s="129"/>
      <c r="I30" s="11"/>
      <c r="J30" s="52"/>
      <c r="K30" s="59"/>
      <c r="L30" s="184"/>
    </row>
    <row r="31" spans="2:12" ht="21" customHeight="1" x14ac:dyDescent="0.25">
      <c r="B31" s="182"/>
      <c r="C31" s="161" t="s">
        <v>68</v>
      </c>
      <c r="D31" s="166"/>
      <c r="E31" s="162"/>
      <c r="F31" s="162"/>
      <c r="G31" s="163"/>
      <c r="H31" s="129"/>
      <c r="I31" s="11"/>
      <c r="J31" s="52"/>
      <c r="K31" s="59"/>
      <c r="L31" s="184"/>
    </row>
    <row r="32" spans="2:12" ht="21" customHeight="1" x14ac:dyDescent="0.25">
      <c r="B32" s="182"/>
      <c r="C32" s="161" t="s">
        <v>70</v>
      </c>
      <c r="D32" s="166"/>
      <c r="E32" s="162"/>
      <c r="F32" s="162"/>
      <c r="G32" s="163"/>
      <c r="H32" s="129"/>
      <c r="I32" s="11"/>
      <c r="J32" s="52"/>
      <c r="K32" s="59"/>
      <c r="L32" s="184"/>
    </row>
    <row r="33" spans="2:12" ht="21" customHeight="1" x14ac:dyDescent="0.25">
      <c r="B33" s="182"/>
      <c r="C33" s="161" t="s">
        <v>64</v>
      </c>
      <c r="D33" s="166"/>
      <c r="E33" s="162"/>
      <c r="F33" s="162"/>
      <c r="G33" s="163"/>
      <c r="H33" s="129"/>
      <c r="I33" s="11"/>
      <c r="J33" s="52"/>
      <c r="K33" s="59"/>
      <c r="L33" s="184"/>
    </row>
    <row r="34" spans="2:12" ht="21" customHeight="1" x14ac:dyDescent="0.25">
      <c r="B34" s="182"/>
      <c r="C34" s="161" t="s">
        <v>65</v>
      </c>
      <c r="D34" s="166"/>
      <c r="E34" s="162"/>
      <c r="F34" s="162"/>
      <c r="G34" s="163"/>
      <c r="H34" s="129"/>
      <c r="I34" s="11"/>
      <c r="J34" s="52"/>
      <c r="K34" s="59"/>
      <c r="L34" s="184"/>
    </row>
    <row r="35" spans="2:12" ht="21" customHeight="1" x14ac:dyDescent="0.25">
      <c r="B35" s="182"/>
      <c r="C35" s="161"/>
      <c r="D35" s="166"/>
      <c r="E35" s="162"/>
      <c r="F35" s="162"/>
      <c r="G35" s="163"/>
      <c r="H35" s="129"/>
      <c r="I35" s="11"/>
      <c r="J35" s="52"/>
      <c r="K35" s="59"/>
      <c r="L35" s="184"/>
    </row>
    <row r="36" spans="2:12" ht="21" customHeight="1" x14ac:dyDescent="0.25">
      <c r="B36" s="182"/>
      <c r="C36" s="165" t="s">
        <v>71</v>
      </c>
      <c r="D36" s="166"/>
      <c r="E36" s="162"/>
      <c r="F36" s="162"/>
      <c r="G36" s="163"/>
      <c r="H36" s="129"/>
      <c r="I36" s="11"/>
      <c r="J36" s="52"/>
      <c r="K36" s="59"/>
      <c r="L36" s="184"/>
    </row>
    <row r="37" spans="2:12" ht="21" customHeight="1" x14ac:dyDescent="0.3">
      <c r="B37" s="182"/>
      <c r="C37" s="168" t="s">
        <v>74</v>
      </c>
      <c r="D37" s="166"/>
      <c r="E37" s="162"/>
      <c r="F37" s="162"/>
      <c r="G37" s="163"/>
      <c r="H37" s="129"/>
      <c r="I37" s="11"/>
      <c r="J37" s="52"/>
      <c r="K37" s="59"/>
      <c r="L37" s="184"/>
    </row>
    <row r="38" spans="2:12" ht="21" customHeight="1" x14ac:dyDescent="0.25">
      <c r="B38" s="182"/>
      <c r="C38" s="161" t="s">
        <v>75</v>
      </c>
      <c r="D38" s="166"/>
      <c r="E38" s="162"/>
      <c r="F38" s="162"/>
      <c r="G38" s="163"/>
      <c r="H38" s="129"/>
      <c r="I38" s="11"/>
      <c r="J38" s="52"/>
      <c r="K38" s="59"/>
      <c r="L38" s="184"/>
    </row>
    <row r="39" spans="2:12" ht="21" customHeight="1" thickBot="1" x14ac:dyDescent="0.3">
      <c r="B39" s="185"/>
      <c r="C39" s="186"/>
      <c r="D39" s="187"/>
      <c r="E39" s="188"/>
      <c r="F39" s="188"/>
      <c r="G39" s="189"/>
      <c r="H39" s="190"/>
      <c r="I39" s="170"/>
      <c r="J39" s="171"/>
      <c r="K39" s="191"/>
      <c r="L39" s="192"/>
    </row>
    <row r="40" spans="2:12" x14ac:dyDescent="0.25">
      <c r="B40" s="193"/>
      <c r="C40" s="194" t="s">
        <v>36</v>
      </c>
      <c r="D40" s="195"/>
      <c r="E40" s="195"/>
      <c r="F40" s="196"/>
      <c r="G40" s="197"/>
      <c r="H40" s="198"/>
      <c r="I40" s="199"/>
      <c r="J40" s="200"/>
      <c r="K40" s="201"/>
      <c r="L40" s="202"/>
    </row>
    <row r="41" spans="2:12" x14ac:dyDescent="0.25">
      <c r="B41" s="203"/>
      <c r="C41" s="95" t="s">
        <v>37</v>
      </c>
      <c r="D41" s="109"/>
      <c r="E41" s="109"/>
      <c r="F41" s="109"/>
      <c r="G41" s="110"/>
      <c r="H41" s="65"/>
      <c r="I41" s="11"/>
      <c r="J41" s="173"/>
      <c r="K41" s="100"/>
      <c r="L41" s="183"/>
    </row>
    <row r="42" spans="2:12" x14ac:dyDescent="0.25">
      <c r="B42" s="203"/>
      <c r="C42" s="95" t="s">
        <v>54</v>
      </c>
      <c r="D42" s="109"/>
      <c r="E42" s="109"/>
      <c r="F42" s="109"/>
      <c r="G42" s="110"/>
      <c r="H42" s="65"/>
      <c r="I42" s="11"/>
      <c r="J42" s="173"/>
      <c r="K42" s="100"/>
      <c r="L42" s="183"/>
    </row>
    <row r="43" spans="2:12" x14ac:dyDescent="0.25">
      <c r="B43" s="203"/>
      <c r="C43" s="95" t="s">
        <v>78</v>
      </c>
      <c r="D43" s="109"/>
      <c r="E43" s="109"/>
      <c r="F43" s="109"/>
      <c r="G43" s="110"/>
      <c r="H43" s="65"/>
      <c r="I43" s="11"/>
      <c r="J43" s="173"/>
      <c r="K43" s="100"/>
      <c r="L43" s="183"/>
    </row>
    <row r="44" spans="2:12" x14ac:dyDescent="0.25">
      <c r="B44" s="203"/>
      <c r="C44" s="95"/>
      <c r="D44" s="109"/>
      <c r="E44" s="109"/>
      <c r="F44" s="109"/>
      <c r="G44" s="110"/>
      <c r="H44" s="65"/>
      <c r="I44" s="11"/>
      <c r="J44" s="173"/>
      <c r="K44" s="100"/>
      <c r="L44" s="183"/>
    </row>
    <row r="45" spans="2:12" x14ac:dyDescent="0.25">
      <c r="B45" s="203"/>
      <c r="C45" s="56" t="s">
        <v>8</v>
      </c>
      <c r="D45" s="104"/>
      <c r="E45" s="104"/>
      <c r="F45" s="104"/>
      <c r="G45" s="105"/>
      <c r="H45" s="57"/>
      <c r="I45" s="11"/>
      <c r="J45" s="174"/>
      <c r="K45" s="25"/>
      <c r="L45" s="183"/>
    </row>
    <row r="46" spans="2:12" x14ac:dyDescent="0.25">
      <c r="B46" s="203"/>
      <c r="C46" s="14" t="s">
        <v>7</v>
      </c>
      <c r="D46" s="102"/>
      <c r="E46" s="102"/>
      <c r="F46" s="102"/>
      <c r="G46" s="103"/>
      <c r="H46" s="55"/>
      <c r="I46" s="11"/>
      <c r="J46" s="174"/>
      <c r="K46" s="25"/>
      <c r="L46" s="183"/>
    </row>
    <row r="47" spans="2:12" x14ac:dyDescent="0.25">
      <c r="B47" s="204"/>
      <c r="C47" s="172"/>
      <c r="D47" s="67"/>
      <c r="E47" s="67"/>
      <c r="F47" s="67"/>
      <c r="G47" s="111"/>
      <c r="H47" s="68"/>
      <c r="I47" s="10" t="s">
        <v>50</v>
      </c>
      <c r="J47" s="114" t="s">
        <v>6</v>
      </c>
      <c r="K47" s="86" t="s">
        <v>5</v>
      </c>
      <c r="L47" s="205">
        <f>SUM(L9:L46)</f>
        <v>160000</v>
      </c>
    </row>
    <row r="48" spans="2:12" ht="35.25" customHeight="1" x14ac:dyDescent="0.25">
      <c r="B48" s="206" t="s">
        <v>4</v>
      </c>
      <c r="C48" s="731" t="s">
        <v>95</v>
      </c>
      <c r="D48" s="535"/>
      <c r="E48" s="535"/>
      <c r="F48" s="535"/>
      <c r="G48" s="535"/>
      <c r="H48" s="535"/>
      <c r="I48" s="535"/>
      <c r="J48" s="535"/>
      <c r="K48" s="535"/>
      <c r="L48" s="732"/>
    </row>
    <row r="49" spans="2:12" x14ac:dyDescent="0.25">
      <c r="B49" s="207"/>
      <c r="C49" s="160"/>
      <c r="D49" s="138"/>
      <c r="E49" s="138"/>
      <c r="F49" s="138"/>
      <c r="G49" s="138"/>
      <c r="H49" s="138"/>
      <c r="I49" s="138"/>
      <c r="J49" s="138"/>
      <c r="K49" s="138"/>
      <c r="L49" s="208"/>
    </row>
    <row r="50" spans="2:12" x14ac:dyDescent="0.25">
      <c r="B50" s="209"/>
      <c r="C50" s="445"/>
      <c r="D50" s="444"/>
      <c r="E50" s="444"/>
      <c r="F50" s="444"/>
      <c r="G50" s="444"/>
      <c r="H50" s="441" t="s">
        <v>3</v>
      </c>
      <c r="I50" s="442"/>
      <c r="J50" s="442"/>
      <c r="K50" s="442"/>
      <c r="L50" s="550"/>
    </row>
    <row r="51" spans="2:12" x14ac:dyDescent="0.25">
      <c r="B51" s="177"/>
      <c r="C51" s="73"/>
      <c r="D51" s="29"/>
      <c r="E51" s="29"/>
      <c r="F51" s="29"/>
      <c r="G51" s="40"/>
      <c r="H51" s="454"/>
      <c r="I51" s="455"/>
      <c r="J51" s="455"/>
      <c r="K51" s="455"/>
      <c r="L51" s="733"/>
    </row>
    <row r="52" spans="2:12" ht="15" customHeight="1" x14ac:dyDescent="0.25">
      <c r="B52" s="210" t="s">
        <v>2</v>
      </c>
      <c r="C52" s="22"/>
      <c r="D52" s="20"/>
      <c r="E52" s="20"/>
      <c r="F52" s="20"/>
      <c r="G52" s="44"/>
      <c r="H52" s="457"/>
      <c r="I52" s="458"/>
      <c r="J52" s="458"/>
      <c r="K52" s="458"/>
      <c r="L52" s="734"/>
    </row>
    <row r="53" spans="2:12" x14ac:dyDescent="0.25">
      <c r="B53" s="210" t="s">
        <v>1</v>
      </c>
      <c r="C53" s="440" t="s">
        <v>48</v>
      </c>
      <c r="D53" s="440"/>
      <c r="E53" s="440"/>
      <c r="F53" s="440"/>
      <c r="G53" s="440"/>
      <c r="H53" s="441" t="s">
        <v>31</v>
      </c>
      <c r="I53" s="442"/>
      <c r="J53" s="442"/>
      <c r="K53" s="442"/>
      <c r="L53" s="550"/>
    </row>
    <row r="54" spans="2:12" ht="16.5" thickBot="1" x14ac:dyDescent="0.3">
      <c r="B54" s="211" t="s">
        <v>0</v>
      </c>
      <c r="C54" s="555" t="s">
        <v>49</v>
      </c>
      <c r="D54" s="555"/>
      <c r="E54" s="555"/>
      <c r="F54" s="555"/>
      <c r="G54" s="555"/>
      <c r="H54" s="554" t="s">
        <v>32</v>
      </c>
      <c r="I54" s="555"/>
      <c r="J54" s="555"/>
      <c r="K54" s="555"/>
      <c r="L54" s="556"/>
    </row>
  </sheetData>
  <mergeCells count="24">
    <mergeCell ref="C54:G54"/>
    <mergeCell ref="H54:L54"/>
    <mergeCell ref="C48:L48"/>
    <mergeCell ref="C50:G50"/>
    <mergeCell ref="H50:L50"/>
    <mergeCell ref="H51:L52"/>
    <mergeCell ref="C53:G53"/>
    <mergeCell ref="H53:L53"/>
    <mergeCell ref="C9:G10"/>
    <mergeCell ref="D11:E11"/>
    <mergeCell ref="F11:G11"/>
    <mergeCell ref="D14:E14"/>
    <mergeCell ref="F14:G14"/>
    <mergeCell ref="D12:E12"/>
    <mergeCell ref="F12:G12"/>
    <mergeCell ref="D13:E13"/>
    <mergeCell ref="F13:G13"/>
    <mergeCell ref="C8:G8"/>
    <mergeCell ref="K8:L8"/>
    <mergeCell ref="B1:L1"/>
    <mergeCell ref="B2:L2"/>
    <mergeCell ref="B3:L3"/>
    <mergeCell ref="B4:L4"/>
    <mergeCell ref="C6:H6"/>
  </mergeCells>
  <pageMargins left="0.7" right="0.7" top="0.38" bottom="0.12" header="0.2" footer="0.3"/>
  <pageSetup paperSize="9" scale="63" fitToHeight="0"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K51"/>
  <sheetViews>
    <sheetView topLeftCell="A37" workbookViewId="0">
      <selection activeCell="H57" sqref="H57"/>
    </sheetView>
  </sheetViews>
  <sheetFormatPr defaultRowHeight="15" x14ac:dyDescent="0.25"/>
  <cols>
    <col min="1" max="1" width="12" customWidth="1"/>
    <col min="2" max="2" width="10.42578125" customWidth="1"/>
    <col min="6" max="6" width="22.5703125" customWidth="1"/>
    <col min="9" max="9" width="16.5703125" customWidth="1"/>
    <col min="10" max="10" width="2.85546875" bestFit="1" customWidth="1"/>
    <col min="11" max="11" width="20.28515625" customWidth="1"/>
  </cols>
  <sheetData>
    <row r="1" spans="1:11" ht="15.75" x14ac:dyDescent="0.25">
      <c r="A1" s="422" t="s">
        <v>28</v>
      </c>
      <c r="B1" s="422"/>
      <c r="C1" s="422"/>
      <c r="D1" s="422"/>
      <c r="E1" s="422"/>
      <c r="F1" s="422"/>
      <c r="G1" s="422"/>
      <c r="H1" s="422"/>
      <c r="I1" s="422"/>
      <c r="J1" s="422"/>
      <c r="K1" s="422"/>
    </row>
    <row r="2" spans="1:11" ht="18" x14ac:dyDescent="0.25">
      <c r="A2" s="423" t="s">
        <v>27</v>
      </c>
      <c r="B2" s="423"/>
      <c r="C2" s="423"/>
      <c r="D2" s="423"/>
      <c r="E2" s="423"/>
      <c r="F2" s="423"/>
      <c r="G2" s="423"/>
      <c r="H2" s="423"/>
      <c r="I2" s="423"/>
      <c r="J2" s="423"/>
      <c r="K2" s="423"/>
    </row>
    <row r="3" spans="1:11" ht="19.5" customHeight="1" x14ac:dyDescent="0.4">
      <c r="A3" s="424" t="s">
        <v>125</v>
      </c>
      <c r="B3" s="425"/>
      <c r="C3" s="425"/>
      <c r="D3" s="425"/>
      <c r="E3" s="425"/>
      <c r="F3" s="425"/>
      <c r="G3" s="425"/>
      <c r="H3" s="425"/>
      <c r="I3" s="425"/>
      <c r="J3" s="425"/>
      <c r="K3" s="425"/>
    </row>
    <row r="4" spans="1:11" ht="15.75" x14ac:dyDescent="0.25">
      <c r="A4" s="426"/>
      <c r="B4" s="426"/>
      <c r="C4" s="426"/>
      <c r="D4" s="426"/>
      <c r="E4" s="426"/>
      <c r="F4" s="426"/>
      <c r="G4" s="426"/>
      <c r="H4" s="426"/>
      <c r="I4" s="426"/>
      <c r="J4" s="426"/>
      <c r="K4" s="426"/>
    </row>
    <row r="5" spans="1:11" ht="15.75" x14ac:dyDescent="0.25">
      <c r="A5" s="31"/>
      <c r="B5" s="30"/>
      <c r="C5" s="38"/>
      <c r="D5" s="38"/>
      <c r="E5" s="38"/>
      <c r="F5" s="38"/>
      <c r="G5" s="38"/>
      <c r="H5" s="29" t="s">
        <v>105</v>
      </c>
      <c r="I5" s="39" t="s">
        <v>241</v>
      </c>
      <c r="J5" s="27"/>
      <c r="K5" s="292" t="s">
        <v>242</v>
      </c>
    </row>
    <row r="6" spans="1:11" ht="15.75" x14ac:dyDescent="0.25">
      <c r="A6" s="25" t="s">
        <v>26</v>
      </c>
      <c r="B6" s="427" t="s">
        <v>30</v>
      </c>
      <c r="C6" s="427"/>
      <c r="D6" s="427"/>
      <c r="E6" s="427"/>
      <c r="F6" s="427"/>
      <c r="G6" s="427"/>
      <c r="H6" s="24" t="s">
        <v>25</v>
      </c>
      <c r="I6" s="41"/>
      <c r="J6" s="1"/>
      <c r="K6" s="42" t="s">
        <v>22</v>
      </c>
    </row>
    <row r="7" spans="1:11" ht="15.75" x14ac:dyDescent="0.25">
      <c r="A7" s="22" t="s">
        <v>24</v>
      </c>
      <c r="B7" s="72" t="s">
        <v>47</v>
      </c>
      <c r="C7" s="71"/>
      <c r="D7" s="71"/>
      <c r="E7" s="71"/>
      <c r="F7" s="71"/>
      <c r="G7" s="71"/>
      <c r="H7" s="20" t="s">
        <v>23</v>
      </c>
      <c r="I7" s="43"/>
      <c r="J7" s="13"/>
      <c r="K7" s="44" t="s">
        <v>22</v>
      </c>
    </row>
    <row r="8" spans="1:11" ht="30.75" x14ac:dyDescent="0.25">
      <c r="A8" s="142" t="s">
        <v>29</v>
      </c>
      <c r="B8" s="428" t="s">
        <v>19</v>
      </c>
      <c r="C8" s="462"/>
      <c r="D8" s="462"/>
      <c r="E8" s="462"/>
      <c r="F8" s="429"/>
      <c r="G8" s="143" t="s">
        <v>21</v>
      </c>
      <c r="H8" s="33" t="s">
        <v>20</v>
      </c>
      <c r="I8" s="47" t="s">
        <v>18</v>
      </c>
      <c r="J8" s="430" t="s">
        <v>17</v>
      </c>
      <c r="K8" s="431"/>
    </row>
    <row r="9" spans="1:11" ht="15.75" x14ac:dyDescent="0.25">
      <c r="A9" s="31"/>
      <c r="B9" s="48"/>
      <c r="C9" s="49"/>
      <c r="D9" s="49"/>
      <c r="E9" s="49"/>
      <c r="F9" s="130"/>
      <c r="G9" s="130"/>
      <c r="H9" s="12"/>
      <c r="I9" s="50"/>
      <c r="J9" s="27"/>
      <c r="K9" s="51"/>
    </row>
    <row r="10" spans="1:11" ht="15.75" customHeight="1" x14ac:dyDescent="0.25">
      <c r="A10" s="303">
        <v>1</v>
      </c>
      <c r="B10" s="539" t="s">
        <v>243</v>
      </c>
      <c r="C10" s="540"/>
      <c r="D10" s="540"/>
      <c r="E10" s="540"/>
      <c r="F10" s="541"/>
      <c r="G10" s="103"/>
      <c r="H10" s="11"/>
      <c r="I10" s="52"/>
      <c r="J10" s="1"/>
      <c r="K10" s="53"/>
    </row>
    <row r="11" spans="1:11" ht="38.25" customHeight="1" x14ac:dyDescent="0.25">
      <c r="A11" s="303"/>
      <c r="B11" s="542"/>
      <c r="C11" s="543"/>
      <c r="D11" s="543"/>
      <c r="E11" s="543"/>
      <c r="F11" s="544"/>
      <c r="G11" s="103"/>
      <c r="H11" s="11"/>
      <c r="I11" s="52"/>
      <c r="J11" s="1"/>
      <c r="K11" s="53"/>
    </row>
    <row r="12" spans="1:11" ht="15.75" customHeight="1" x14ac:dyDescent="0.25">
      <c r="A12" s="303"/>
      <c r="B12" s="60" t="s">
        <v>21</v>
      </c>
      <c r="C12" s="469" t="s">
        <v>41</v>
      </c>
      <c r="D12" s="469"/>
      <c r="E12" s="469" t="s">
        <v>42</v>
      </c>
      <c r="F12" s="469"/>
      <c r="G12" s="129"/>
      <c r="H12" s="11"/>
      <c r="I12" s="52"/>
      <c r="J12" s="59"/>
      <c r="K12" s="53"/>
    </row>
    <row r="13" spans="1:11" ht="15.75" customHeight="1" x14ac:dyDescent="0.25">
      <c r="A13" s="303"/>
      <c r="B13" s="70">
        <v>4</v>
      </c>
      <c r="C13" s="735" t="s">
        <v>244</v>
      </c>
      <c r="D13" s="736"/>
      <c r="E13" s="737" t="s">
        <v>245</v>
      </c>
      <c r="F13" s="709"/>
      <c r="G13" s="135">
        <v>4</v>
      </c>
      <c r="H13" s="135" t="s">
        <v>107</v>
      </c>
      <c r="I13" s="52">
        <v>50</v>
      </c>
      <c r="J13" s="59"/>
      <c r="K13" s="226">
        <f>G13*I13</f>
        <v>200</v>
      </c>
    </row>
    <row r="14" spans="1:11" ht="15.75" customHeight="1" x14ac:dyDescent="0.25">
      <c r="A14" s="303"/>
      <c r="B14" s="70">
        <v>1</v>
      </c>
      <c r="C14" s="738" t="s">
        <v>246</v>
      </c>
      <c r="D14" s="739"/>
      <c r="E14" s="710"/>
      <c r="F14" s="711"/>
      <c r="G14" s="135">
        <v>1</v>
      </c>
      <c r="H14" s="135" t="s">
        <v>247</v>
      </c>
      <c r="I14" s="52">
        <v>210</v>
      </c>
      <c r="J14" s="59"/>
      <c r="K14" s="226">
        <f t="shared" ref="K14:K17" si="0">G14*I14</f>
        <v>210</v>
      </c>
    </row>
    <row r="15" spans="1:11" ht="15.75" customHeight="1" x14ac:dyDescent="0.25">
      <c r="A15" s="303"/>
      <c r="B15" s="70">
        <v>1</v>
      </c>
      <c r="C15" s="738" t="s">
        <v>248</v>
      </c>
      <c r="D15" s="739"/>
      <c r="E15" s="710"/>
      <c r="F15" s="711"/>
      <c r="G15" s="135">
        <v>1</v>
      </c>
      <c r="H15" s="135" t="s">
        <v>249</v>
      </c>
      <c r="I15" s="52">
        <v>360</v>
      </c>
      <c r="J15" s="59"/>
      <c r="K15" s="226">
        <f t="shared" si="0"/>
        <v>360</v>
      </c>
    </row>
    <row r="16" spans="1:11" ht="15.75" customHeight="1" x14ac:dyDescent="0.25">
      <c r="A16" s="303"/>
      <c r="B16" s="70">
        <v>5</v>
      </c>
      <c r="C16" s="738" t="s">
        <v>250</v>
      </c>
      <c r="D16" s="739"/>
      <c r="E16" s="710"/>
      <c r="F16" s="711"/>
      <c r="G16" s="135">
        <v>6</v>
      </c>
      <c r="H16" s="135" t="s">
        <v>251</v>
      </c>
      <c r="I16" s="52">
        <v>70</v>
      </c>
      <c r="J16" s="59"/>
      <c r="K16" s="226">
        <f t="shared" si="0"/>
        <v>420</v>
      </c>
    </row>
    <row r="17" spans="1:11" ht="15.75" customHeight="1" x14ac:dyDescent="0.25">
      <c r="A17" s="303"/>
      <c r="B17" s="244">
        <v>1</v>
      </c>
      <c r="C17" s="740" t="s">
        <v>252</v>
      </c>
      <c r="D17" s="741"/>
      <c r="E17" s="712"/>
      <c r="F17" s="713"/>
      <c r="G17" s="304">
        <v>1</v>
      </c>
      <c r="H17" s="304" t="s">
        <v>116</v>
      </c>
      <c r="I17" s="52">
        <v>1200</v>
      </c>
      <c r="J17" s="59"/>
      <c r="K17" s="226">
        <f t="shared" si="0"/>
        <v>1200</v>
      </c>
    </row>
    <row r="18" spans="1:11" ht="15.75" x14ac:dyDescent="0.25">
      <c r="A18" s="303"/>
      <c r="B18" s="147" t="s">
        <v>40</v>
      </c>
      <c r="C18" s="148"/>
      <c r="D18" s="148"/>
      <c r="E18" s="133"/>
      <c r="F18" s="134"/>
      <c r="G18" s="135"/>
      <c r="H18" s="78"/>
      <c r="I18" s="113"/>
      <c r="J18" s="89"/>
      <c r="K18" s="119"/>
    </row>
    <row r="19" spans="1:11" ht="15.75" x14ac:dyDescent="0.25">
      <c r="A19" s="303"/>
      <c r="B19" s="290" t="s">
        <v>253</v>
      </c>
      <c r="C19" s="218"/>
      <c r="D19" s="218"/>
      <c r="E19" s="221"/>
      <c r="F19" s="135"/>
      <c r="G19" s="135"/>
      <c r="H19" s="78"/>
      <c r="I19" s="113"/>
      <c r="J19" s="89"/>
      <c r="K19" s="119"/>
    </row>
    <row r="20" spans="1:11" ht="15.75" x14ac:dyDescent="0.25">
      <c r="A20" s="303"/>
      <c r="B20" s="106"/>
      <c r="C20" s="107"/>
      <c r="D20" s="107"/>
      <c r="E20" s="108"/>
      <c r="F20" s="112"/>
      <c r="G20" s="61"/>
      <c r="H20" s="62"/>
      <c r="I20" s="63"/>
      <c r="J20" s="59"/>
      <c r="K20" s="53"/>
    </row>
    <row r="21" spans="1:11" ht="15.75" customHeight="1" x14ac:dyDescent="0.25">
      <c r="A21" s="303"/>
      <c r="B21" s="539" t="s">
        <v>254</v>
      </c>
      <c r="C21" s="540"/>
      <c r="D21" s="540"/>
      <c r="E21" s="540"/>
      <c r="F21" s="541"/>
      <c r="G21" s="103"/>
      <c r="H21" s="11"/>
      <c r="I21" s="52"/>
      <c r="J21" s="1"/>
      <c r="K21" s="53"/>
    </row>
    <row r="22" spans="1:11" ht="27" customHeight="1" x14ac:dyDescent="0.25">
      <c r="A22" s="303">
        <v>2</v>
      </c>
      <c r="B22" s="542"/>
      <c r="C22" s="543"/>
      <c r="D22" s="543"/>
      <c r="E22" s="543"/>
      <c r="F22" s="544"/>
      <c r="G22" s="103"/>
      <c r="H22" s="11"/>
      <c r="I22" s="52"/>
      <c r="J22" s="1"/>
      <c r="K22" s="53"/>
    </row>
    <row r="23" spans="1:11" ht="15.75" customHeight="1" x14ac:dyDescent="0.25">
      <c r="A23" s="303"/>
      <c r="B23" s="60" t="s">
        <v>21</v>
      </c>
      <c r="C23" s="469" t="s">
        <v>41</v>
      </c>
      <c r="D23" s="469"/>
      <c r="E23" s="469" t="s">
        <v>42</v>
      </c>
      <c r="F23" s="469"/>
      <c r="G23" s="129"/>
      <c r="H23" s="11"/>
      <c r="I23" s="52"/>
      <c r="J23" s="59"/>
      <c r="K23" s="53"/>
    </row>
    <row r="24" spans="1:11" ht="15.75" customHeight="1" x14ac:dyDescent="0.25">
      <c r="A24" s="303"/>
      <c r="B24" s="60">
        <v>1</v>
      </c>
      <c r="C24" s="738" t="s">
        <v>246</v>
      </c>
      <c r="D24" s="739"/>
      <c r="E24" s="641" t="s">
        <v>245</v>
      </c>
      <c r="F24" s="638"/>
      <c r="G24" s="129">
        <v>1</v>
      </c>
      <c r="H24" s="11" t="s">
        <v>247</v>
      </c>
      <c r="I24" s="52">
        <v>210</v>
      </c>
      <c r="J24" s="59"/>
      <c r="K24" s="226">
        <f>G24*I24</f>
        <v>210</v>
      </c>
    </row>
    <row r="25" spans="1:11" ht="15.75" x14ac:dyDescent="0.25">
      <c r="A25" s="303"/>
      <c r="B25" s="106"/>
      <c r="C25" s="107"/>
      <c r="D25" s="107"/>
      <c r="E25" s="108"/>
      <c r="F25" s="112"/>
      <c r="G25" s="61"/>
      <c r="H25" s="62"/>
      <c r="I25" s="63"/>
      <c r="J25" s="59"/>
      <c r="K25" s="53"/>
    </row>
    <row r="26" spans="1:11" ht="15.75" x14ac:dyDescent="0.25">
      <c r="A26" s="303"/>
      <c r="B26" s="56" t="s">
        <v>40</v>
      </c>
      <c r="C26" s="107"/>
      <c r="D26" s="107"/>
      <c r="E26" s="108"/>
      <c r="F26" s="112"/>
      <c r="G26" s="61"/>
      <c r="H26" s="62"/>
      <c r="I26" s="63"/>
      <c r="J26" s="59"/>
      <c r="K26" s="53"/>
    </row>
    <row r="27" spans="1:11" ht="15.75" x14ac:dyDescent="0.25">
      <c r="A27" s="303"/>
      <c r="B27" s="290" t="s">
        <v>253</v>
      </c>
      <c r="C27" s="107"/>
      <c r="D27" s="107"/>
      <c r="E27" s="108"/>
      <c r="F27" s="112"/>
      <c r="G27" s="61"/>
      <c r="H27" s="62"/>
      <c r="I27" s="63"/>
      <c r="J27" s="59"/>
      <c r="K27" s="53"/>
    </row>
    <row r="28" spans="1:11" ht="15.75" x14ac:dyDescent="0.25">
      <c r="A28" s="303"/>
      <c r="B28" s="106"/>
      <c r="C28" s="107"/>
      <c r="D28" s="107"/>
      <c r="E28" s="108"/>
      <c r="F28" s="112"/>
      <c r="G28" s="61"/>
      <c r="H28" s="62"/>
      <c r="I28" s="63"/>
      <c r="J28" s="59"/>
      <c r="K28" s="53"/>
    </row>
    <row r="29" spans="1:11" ht="15.75" x14ac:dyDescent="0.25">
      <c r="A29" s="303"/>
      <c r="B29" s="96" t="s">
        <v>33</v>
      </c>
      <c r="C29" s="107"/>
      <c r="D29" s="107"/>
      <c r="E29" s="108"/>
      <c r="F29" s="112"/>
      <c r="G29" s="61"/>
      <c r="H29" s="62"/>
      <c r="I29" s="63"/>
      <c r="J29" s="59"/>
      <c r="K29" s="53"/>
    </row>
    <row r="30" spans="1:11" ht="15.75" x14ac:dyDescent="0.25">
      <c r="A30" s="303"/>
      <c r="B30" s="95" t="s">
        <v>34</v>
      </c>
      <c r="C30" s="107"/>
      <c r="D30" s="107"/>
      <c r="E30" s="108"/>
      <c r="F30" s="112"/>
      <c r="G30" s="61"/>
      <c r="H30" s="62"/>
      <c r="I30" s="63"/>
      <c r="J30" s="59"/>
      <c r="K30" s="53"/>
    </row>
    <row r="31" spans="1:11" ht="15.75" x14ac:dyDescent="0.25">
      <c r="A31" s="303"/>
      <c r="B31" s="95" t="s">
        <v>35</v>
      </c>
      <c r="C31" s="107"/>
      <c r="D31" s="107"/>
      <c r="E31" s="108"/>
      <c r="F31" s="112"/>
      <c r="G31" s="61"/>
      <c r="H31" s="62"/>
      <c r="I31" s="63"/>
      <c r="J31" s="59"/>
      <c r="K31" s="53"/>
    </row>
    <row r="32" spans="1:11" ht="15.75" x14ac:dyDescent="0.25">
      <c r="A32" s="303"/>
      <c r="B32" s="95"/>
      <c r="C32" s="107"/>
      <c r="D32" s="107"/>
      <c r="E32" s="108"/>
      <c r="F32" s="112"/>
      <c r="G32" s="61"/>
      <c r="H32" s="62"/>
      <c r="I32" s="63"/>
      <c r="J32" s="59"/>
      <c r="K32" s="53"/>
    </row>
    <row r="33" spans="1:11" ht="15.75" x14ac:dyDescent="0.25">
      <c r="A33" s="303"/>
      <c r="B33" s="96" t="s">
        <v>36</v>
      </c>
      <c r="C33" s="107"/>
      <c r="D33" s="107"/>
      <c r="E33" s="108"/>
      <c r="F33" s="112"/>
      <c r="G33" s="61"/>
      <c r="H33" s="62"/>
      <c r="I33" s="63"/>
      <c r="J33" s="59"/>
      <c r="K33" s="53"/>
    </row>
    <row r="34" spans="1:11" ht="15.75" x14ac:dyDescent="0.25">
      <c r="A34" s="303"/>
      <c r="B34" s="95" t="s">
        <v>37</v>
      </c>
      <c r="C34" s="109"/>
      <c r="D34" s="109"/>
      <c r="E34" s="109"/>
      <c r="F34" s="110"/>
      <c r="G34" s="65"/>
      <c r="H34" s="11"/>
      <c r="I34" s="52"/>
      <c r="J34" s="1"/>
      <c r="K34" s="53"/>
    </row>
    <row r="35" spans="1:11" ht="15.75" x14ac:dyDescent="0.25">
      <c r="A35" s="303"/>
      <c r="B35" s="95"/>
      <c r="C35" s="109"/>
      <c r="D35" s="109"/>
      <c r="E35" s="109"/>
      <c r="F35" s="110"/>
      <c r="G35" s="65"/>
      <c r="H35" s="11"/>
      <c r="I35" s="52"/>
      <c r="J35" s="1"/>
      <c r="K35" s="53"/>
    </row>
    <row r="36" spans="1:11" ht="15.75" x14ac:dyDescent="0.25">
      <c r="A36" s="303"/>
      <c r="B36" s="56" t="s">
        <v>8</v>
      </c>
      <c r="C36" s="104"/>
      <c r="D36" s="104"/>
      <c r="E36" s="104"/>
      <c r="F36" s="105"/>
      <c r="G36" s="57"/>
      <c r="H36" s="11"/>
      <c r="I36" s="113"/>
      <c r="J36" s="24"/>
      <c r="K36" s="53"/>
    </row>
    <row r="37" spans="1:11" ht="15.75" x14ac:dyDescent="0.25">
      <c r="A37" s="303"/>
      <c r="B37" s="54" t="s">
        <v>7</v>
      </c>
      <c r="C37" s="102"/>
      <c r="D37" s="102"/>
      <c r="E37" s="102"/>
      <c r="F37" s="103"/>
      <c r="G37" s="55"/>
      <c r="H37" s="11"/>
      <c r="I37" s="113"/>
      <c r="J37" s="24"/>
      <c r="K37" s="53"/>
    </row>
    <row r="38" spans="1:11" ht="15.75" x14ac:dyDescent="0.25">
      <c r="A38" s="305"/>
      <c r="B38" s="66"/>
      <c r="C38" s="67"/>
      <c r="D38" s="67"/>
      <c r="E38" s="67"/>
      <c r="F38" s="111"/>
      <c r="G38" s="68"/>
      <c r="H38" s="10"/>
      <c r="I38" s="114" t="s">
        <v>6</v>
      </c>
      <c r="J38" s="72" t="s">
        <v>5</v>
      </c>
      <c r="K38" s="69">
        <f>SUM(K13:K24)</f>
        <v>2600</v>
      </c>
    </row>
    <row r="39" spans="1:11" ht="16.5" customHeight="1" x14ac:dyDescent="0.25">
      <c r="A39" s="88" t="s">
        <v>4</v>
      </c>
      <c r="B39" s="534" t="s">
        <v>255</v>
      </c>
      <c r="C39" s="535"/>
      <c r="D39" s="535"/>
      <c r="E39" s="535"/>
      <c r="F39" s="535"/>
      <c r="G39" s="535"/>
      <c r="H39" s="535"/>
      <c r="I39" s="535"/>
      <c r="J39" s="535"/>
      <c r="K39" s="536"/>
    </row>
    <row r="40" spans="1:11" ht="15.75" x14ac:dyDescent="0.25">
      <c r="A40" s="136"/>
      <c r="B40" s="137"/>
      <c r="C40" s="138"/>
      <c r="D40" s="138"/>
      <c r="E40" s="138"/>
      <c r="F40" s="138"/>
      <c r="G40" s="138"/>
      <c r="H40" s="138"/>
      <c r="I40" s="138"/>
      <c r="J40" s="138"/>
      <c r="K40" s="141"/>
    </row>
    <row r="41" spans="1:11" ht="15.75" x14ac:dyDescent="0.25">
      <c r="A41" s="73"/>
      <c r="B41" s="445"/>
      <c r="C41" s="444"/>
      <c r="D41" s="444"/>
      <c r="E41" s="444"/>
      <c r="F41" s="444"/>
      <c r="G41" s="441" t="s">
        <v>3</v>
      </c>
      <c r="H41" s="442"/>
      <c r="I41" s="442"/>
      <c r="J41" s="442"/>
      <c r="K41" s="443"/>
    </row>
    <row r="42" spans="1:11" ht="15.75" x14ac:dyDescent="0.25">
      <c r="A42" s="25"/>
      <c r="B42" s="450"/>
      <c r="C42" s="480"/>
      <c r="D42" s="480"/>
      <c r="E42" s="480"/>
      <c r="F42" s="451"/>
      <c r="G42" s="454"/>
      <c r="H42" s="455"/>
      <c r="I42" s="455"/>
      <c r="J42" s="455"/>
      <c r="K42" s="456"/>
    </row>
    <row r="43" spans="1:11" ht="15.75" x14ac:dyDescent="0.25">
      <c r="A43" s="78" t="s">
        <v>2</v>
      </c>
      <c r="B43" s="452"/>
      <c r="C43" s="481"/>
      <c r="D43" s="481"/>
      <c r="E43" s="481"/>
      <c r="F43" s="453"/>
      <c r="G43" s="457"/>
      <c r="H43" s="458"/>
      <c r="I43" s="458"/>
      <c r="J43" s="458"/>
      <c r="K43" s="459"/>
    </row>
    <row r="44" spans="1:11" ht="15.75" customHeight="1" x14ac:dyDescent="0.25">
      <c r="A44" s="78" t="s">
        <v>1</v>
      </c>
      <c r="B44" s="440" t="s">
        <v>216</v>
      </c>
      <c r="C44" s="440"/>
      <c r="D44" s="440"/>
      <c r="E44" s="440"/>
      <c r="F44" s="440"/>
      <c r="G44" s="441" t="s">
        <v>31</v>
      </c>
      <c r="H44" s="442"/>
      <c r="I44" s="442"/>
      <c r="J44" s="442"/>
      <c r="K44" s="443"/>
    </row>
    <row r="45" spans="1:11" ht="15.75" x14ac:dyDescent="0.25">
      <c r="A45" s="83" t="s">
        <v>0</v>
      </c>
      <c r="B45" s="444" t="s">
        <v>197</v>
      </c>
      <c r="C45" s="444"/>
      <c r="D45" s="444"/>
      <c r="E45" s="444"/>
      <c r="F45" s="444"/>
      <c r="G45" s="445" t="s">
        <v>32</v>
      </c>
      <c r="H45" s="444"/>
      <c r="I45" s="444"/>
      <c r="J45" s="444"/>
      <c r="K45" s="446"/>
    </row>
    <row r="46" spans="1:11" ht="15.75" x14ac:dyDescent="0.25">
      <c r="A46" s="1"/>
      <c r="B46" s="3"/>
      <c r="C46" s="5"/>
      <c r="D46" s="5"/>
      <c r="E46" s="5"/>
      <c r="F46" s="5"/>
      <c r="G46" s="5"/>
      <c r="H46" s="1"/>
      <c r="I46" s="41"/>
      <c r="J46" s="1"/>
      <c r="K46" s="1"/>
    </row>
    <row r="51" spans="6:6" x14ac:dyDescent="0.25">
      <c r="F51" s="306"/>
    </row>
  </sheetData>
  <mergeCells count="30">
    <mergeCell ref="B45:F45"/>
    <mergeCell ref="G45:K45"/>
    <mergeCell ref="B41:F41"/>
    <mergeCell ref="G41:K41"/>
    <mergeCell ref="B42:F43"/>
    <mergeCell ref="G42:K43"/>
    <mergeCell ref="B44:F44"/>
    <mergeCell ref="G44:K44"/>
    <mergeCell ref="B39:K39"/>
    <mergeCell ref="B10:F11"/>
    <mergeCell ref="C12:D12"/>
    <mergeCell ref="E12:F12"/>
    <mergeCell ref="C13:D13"/>
    <mergeCell ref="E13:F17"/>
    <mergeCell ref="C14:D14"/>
    <mergeCell ref="C15:D15"/>
    <mergeCell ref="C16:D16"/>
    <mergeCell ref="C17:D17"/>
    <mergeCell ref="B21:F22"/>
    <mergeCell ref="C23:D23"/>
    <mergeCell ref="E23:F23"/>
    <mergeCell ref="C24:D24"/>
    <mergeCell ref="E24:F24"/>
    <mergeCell ref="B8:F8"/>
    <mergeCell ref="J8:K8"/>
    <mergeCell ref="A1:K1"/>
    <mergeCell ref="A2:K2"/>
    <mergeCell ref="A3:K3"/>
    <mergeCell ref="A4:K4"/>
    <mergeCell ref="B6:G6"/>
  </mergeCells>
  <pageMargins left="0.7" right="0.7" top="0.75" bottom="0.75" header="0.3" footer="0.3"/>
  <pageSetup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8D6B6-B101-4975-AF29-04399AFBE58D}">
  <sheetPr>
    <tabColor theme="9"/>
    <pageSetUpPr fitToPage="1"/>
  </sheetPr>
  <dimension ref="B1:I41"/>
  <sheetViews>
    <sheetView tabSelected="1" view="pageBreakPreview" topLeftCell="A16" zoomScale="85" zoomScaleNormal="100" zoomScaleSheetLayoutView="85" workbookViewId="0">
      <selection activeCell="C34" sqref="C34"/>
    </sheetView>
  </sheetViews>
  <sheetFormatPr defaultColWidth="8.85546875" defaultRowHeight="15.75" x14ac:dyDescent="0.25"/>
  <cols>
    <col min="1" max="1" width="4.5703125" style="1" customWidth="1"/>
    <col min="2" max="2" width="14.140625" style="1" customWidth="1"/>
    <col min="3" max="3" width="45.28515625" style="3" customWidth="1"/>
    <col min="4" max="4" width="37.7109375" style="5" customWidth="1"/>
    <col min="5" max="5" width="10.28515625" style="5" customWidth="1"/>
    <col min="6" max="6" width="10" style="1" customWidth="1"/>
    <col min="7" max="7" width="11.28515625" style="41" customWidth="1"/>
    <col min="8" max="8" width="5.140625" style="1" customWidth="1"/>
    <col min="9" max="9" width="24.140625" style="1" customWidth="1"/>
    <col min="10" max="10" width="5.7109375" style="1" customWidth="1"/>
    <col min="11" max="16384" width="8.85546875" style="1"/>
  </cols>
  <sheetData>
    <row r="1" spans="2:9" x14ac:dyDescent="0.25">
      <c r="B1" s="422" t="s">
        <v>28</v>
      </c>
      <c r="C1" s="422"/>
      <c r="D1" s="422"/>
      <c r="E1" s="422"/>
      <c r="F1" s="422"/>
      <c r="G1" s="422"/>
      <c r="H1" s="422"/>
      <c r="I1" s="422"/>
    </row>
    <row r="2" spans="2:9" ht="18" x14ac:dyDescent="0.25">
      <c r="B2" s="423" t="s">
        <v>27</v>
      </c>
      <c r="C2" s="423"/>
      <c r="D2" s="423"/>
      <c r="E2" s="423"/>
      <c r="F2" s="423"/>
      <c r="G2" s="423"/>
      <c r="H2" s="423"/>
      <c r="I2" s="423"/>
    </row>
    <row r="3" spans="2:9" ht="96.6" customHeight="1" x14ac:dyDescent="0.4">
      <c r="B3" s="424" t="s">
        <v>596</v>
      </c>
      <c r="C3" s="425"/>
      <c r="D3" s="425"/>
      <c r="E3" s="425"/>
      <c r="F3" s="425"/>
      <c r="G3" s="425"/>
      <c r="H3" s="425"/>
      <c r="I3" s="425"/>
    </row>
    <row r="4" spans="2:9" x14ac:dyDescent="0.25">
      <c r="B4" s="426"/>
      <c r="C4" s="426"/>
      <c r="D4" s="426"/>
      <c r="E4" s="426"/>
      <c r="F4" s="426"/>
      <c r="G4" s="426"/>
      <c r="H4" s="426"/>
      <c r="I4" s="426"/>
    </row>
    <row r="5" spans="2:9" ht="18.75" customHeight="1" x14ac:dyDescent="0.25">
      <c r="B5" s="31"/>
      <c r="C5" s="30"/>
      <c r="D5" s="38"/>
      <c r="E5" s="38"/>
      <c r="F5" s="29" t="s">
        <v>607</v>
      </c>
      <c r="G5" s="39"/>
      <c r="H5" s="27"/>
      <c r="I5" s="40" t="s">
        <v>608</v>
      </c>
    </row>
    <row r="6" spans="2:9" ht="18.75" customHeight="1" x14ac:dyDescent="0.25">
      <c r="B6" s="25" t="s">
        <v>26</v>
      </c>
      <c r="C6" s="427" t="s">
        <v>30</v>
      </c>
      <c r="D6" s="427"/>
      <c r="E6" s="427"/>
      <c r="F6" s="24" t="s">
        <v>597</v>
      </c>
      <c r="I6" s="42" t="s">
        <v>599</v>
      </c>
    </row>
    <row r="7" spans="2:9" ht="18.75" customHeight="1" x14ac:dyDescent="0.25">
      <c r="B7" s="22" t="s">
        <v>24</v>
      </c>
      <c r="C7" s="72" t="s">
        <v>606</v>
      </c>
      <c r="D7" s="71"/>
      <c r="E7" s="71"/>
      <c r="F7" s="20" t="s">
        <v>598</v>
      </c>
      <c r="G7" s="43"/>
      <c r="H7" s="13"/>
      <c r="I7" s="44" t="s">
        <v>599</v>
      </c>
    </row>
    <row r="8" spans="2:9" ht="36.75" customHeight="1" x14ac:dyDescent="0.25">
      <c r="B8" s="142" t="s">
        <v>29</v>
      </c>
      <c r="C8" s="428" t="s">
        <v>19</v>
      </c>
      <c r="D8" s="429"/>
      <c r="E8" s="417" t="s">
        <v>603</v>
      </c>
      <c r="F8" s="33" t="s">
        <v>20</v>
      </c>
      <c r="G8" s="47" t="s">
        <v>18</v>
      </c>
      <c r="H8" s="430" t="s">
        <v>17</v>
      </c>
      <c r="I8" s="431"/>
    </row>
    <row r="9" spans="2:9" x14ac:dyDescent="0.25">
      <c r="B9" s="31"/>
      <c r="C9" s="48"/>
      <c r="D9" s="130"/>
      <c r="E9" s="130"/>
      <c r="F9" s="12"/>
      <c r="G9" s="50"/>
      <c r="H9" s="27"/>
      <c r="I9" s="51"/>
    </row>
    <row r="10" spans="2:9" x14ac:dyDescent="0.25">
      <c r="B10" s="100"/>
      <c r="C10" s="432" t="s">
        <v>605</v>
      </c>
      <c r="D10" s="433"/>
      <c r="E10" s="103"/>
      <c r="F10" s="11"/>
      <c r="G10" s="52"/>
      <c r="I10" s="53"/>
    </row>
    <row r="11" spans="2:9" ht="42" customHeight="1" x14ac:dyDescent="0.25">
      <c r="B11" s="100"/>
      <c r="C11" s="432"/>
      <c r="D11" s="433"/>
      <c r="E11" s="103"/>
      <c r="F11" s="11"/>
      <c r="G11" s="52"/>
      <c r="I11" s="53"/>
    </row>
    <row r="12" spans="2:9" ht="23.45" customHeight="1" x14ac:dyDescent="0.25">
      <c r="B12" s="100"/>
      <c r="C12" s="390"/>
      <c r="D12" s="391"/>
      <c r="E12" s="103"/>
      <c r="F12" s="11"/>
      <c r="G12" s="52"/>
      <c r="I12" s="53"/>
    </row>
    <row r="13" spans="2:9" ht="48.75" customHeight="1" x14ac:dyDescent="0.25">
      <c r="B13" s="100"/>
      <c r="C13" s="432" t="s">
        <v>604</v>
      </c>
      <c r="D13" s="433"/>
      <c r="E13" s="409"/>
      <c r="F13" s="410"/>
      <c r="G13" s="411"/>
      <c r="H13" s="412"/>
      <c r="I13" s="408" t="s">
        <v>609</v>
      </c>
    </row>
    <row r="14" spans="2:9" ht="30" customHeight="1" x14ac:dyDescent="0.25">
      <c r="B14" s="100"/>
      <c r="C14" s="231" t="s">
        <v>41</v>
      </c>
      <c r="D14" s="256" t="s">
        <v>42</v>
      </c>
      <c r="E14" s="129"/>
      <c r="F14" s="11"/>
      <c r="G14" s="52"/>
      <c r="H14" s="59"/>
      <c r="I14" s="53"/>
    </row>
    <row r="15" spans="2:9" ht="44.25" customHeight="1" x14ac:dyDescent="0.25">
      <c r="B15" s="100"/>
      <c r="C15" s="420" t="s">
        <v>610</v>
      </c>
      <c r="D15" s="418"/>
      <c r="E15" s="135"/>
      <c r="F15" s="396"/>
      <c r="G15" s="397"/>
      <c r="H15" s="392"/>
      <c r="I15" s="398"/>
    </row>
    <row r="16" spans="2:9" ht="25.5" customHeight="1" x14ac:dyDescent="0.25">
      <c r="B16" s="100"/>
      <c r="C16" s="406"/>
      <c r="D16" s="134"/>
      <c r="E16" s="135"/>
      <c r="F16" s="396"/>
      <c r="G16" s="397"/>
      <c r="H16" s="392"/>
      <c r="I16" s="402"/>
    </row>
    <row r="17" spans="2:9" ht="39.75" customHeight="1" x14ac:dyDescent="0.25">
      <c r="B17" s="100"/>
      <c r="C17" s="434" t="s">
        <v>602</v>
      </c>
      <c r="D17" s="435"/>
      <c r="E17" s="135"/>
      <c r="F17" s="396"/>
      <c r="G17" s="397"/>
      <c r="H17" s="392"/>
      <c r="I17" s="398"/>
    </row>
    <row r="18" spans="2:9" ht="39.75" customHeight="1" x14ac:dyDescent="0.25">
      <c r="B18" s="100"/>
      <c r="C18" s="434" t="s">
        <v>601</v>
      </c>
      <c r="D18" s="435"/>
      <c r="E18" s="135"/>
      <c r="F18" s="396"/>
      <c r="G18" s="397"/>
      <c r="H18" s="392"/>
      <c r="I18" s="398"/>
    </row>
    <row r="19" spans="2:9" ht="29.25" customHeight="1" x14ac:dyDescent="0.25">
      <c r="B19" s="100"/>
      <c r="C19" s="415"/>
      <c r="D19" s="416"/>
      <c r="E19" s="135"/>
      <c r="F19" s="396"/>
      <c r="G19" s="397"/>
      <c r="H19" s="392"/>
      <c r="I19" s="398"/>
    </row>
    <row r="20" spans="2:9" ht="20.25" customHeight="1" x14ac:dyDescent="0.25">
      <c r="B20" s="100"/>
      <c r="C20" s="96" t="s">
        <v>33</v>
      </c>
      <c r="D20" s="112"/>
      <c r="E20" s="135"/>
      <c r="F20" s="78"/>
      <c r="G20" s="113"/>
      <c r="H20" s="89"/>
      <c r="I20" s="119"/>
    </row>
    <row r="21" spans="2:9" ht="18.75" customHeight="1" x14ac:dyDescent="0.25">
      <c r="B21" s="100"/>
      <c r="C21" s="95" t="s">
        <v>34</v>
      </c>
      <c r="D21" s="112"/>
      <c r="E21" s="129"/>
      <c r="F21" s="62"/>
      <c r="G21" s="63"/>
      <c r="H21" s="59"/>
      <c r="I21" s="53"/>
    </row>
    <row r="22" spans="2:9" ht="18.75" customHeight="1" x14ac:dyDescent="0.25">
      <c r="B22" s="100"/>
      <c r="C22" s="95" t="s">
        <v>35</v>
      </c>
      <c r="D22" s="112"/>
      <c r="E22" s="129"/>
      <c r="F22" s="62"/>
      <c r="G22" s="63"/>
      <c r="H22" s="59"/>
      <c r="I22" s="53"/>
    </row>
    <row r="23" spans="2:9" ht="48.75" customHeight="1" x14ac:dyDescent="0.25">
      <c r="B23" s="100"/>
      <c r="C23" s="436" t="s">
        <v>560</v>
      </c>
      <c r="D23" s="437"/>
      <c r="E23" s="129"/>
      <c r="F23" s="62"/>
      <c r="G23" s="63"/>
      <c r="H23" s="59"/>
      <c r="I23" s="53"/>
    </row>
    <row r="24" spans="2:9" x14ac:dyDescent="0.25">
      <c r="B24" s="100"/>
      <c r="C24" s="95"/>
      <c r="D24" s="112"/>
      <c r="E24" s="129"/>
      <c r="F24" s="62"/>
      <c r="G24" s="63"/>
      <c r="H24" s="59"/>
      <c r="I24" s="53"/>
    </row>
    <row r="25" spans="2:9" x14ac:dyDescent="0.25">
      <c r="B25" s="100"/>
      <c r="C25" s="96" t="s">
        <v>561</v>
      </c>
      <c r="D25" s="112"/>
      <c r="E25" s="129"/>
      <c r="F25" s="62"/>
      <c r="G25" s="63"/>
      <c r="H25" s="59"/>
      <c r="I25" s="53"/>
    </row>
    <row r="26" spans="2:9" ht="31.5" customHeight="1" x14ac:dyDescent="0.25">
      <c r="B26" s="100"/>
      <c r="C26" s="438" t="s">
        <v>591</v>
      </c>
      <c r="D26" s="439"/>
      <c r="E26" s="129"/>
      <c r="F26" s="62"/>
      <c r="G26" s="63"/>
      <c r="H26" s="59"/>
      <c r="I26" s="53"/>
    </row>
    <row r="27" spans="2:9" ht="18.75" customHeight="1" x14ac:dyDescent="0.25">
      <c r="B27" s="100"/>
      <c r="C27" s="90" t="s">
        <v>592</v>
      </c>
      <c r="D27" s="407"/>
      <c r="E27" s="129"/>
      <c r="F27" s="62"/>
      <c r="G27" s="63"/>
      <c r="H27" s="59"/>
      <c r="I27" s="53"/>
    </row>
    <row r="28" spans="2:9" x14ac:dyDescent="0.25">
      <c r="B28" s="100"/>
      <c r="C28" s="90" t="s">
        <v>593</v>
      </c>
      <c r="D28" s="407"/>
      <c r="E28" s="129"/>
      <c r="F28" s="62"/>
      <c r="G28" s="63"/>
      <c r="H28" s="59"/>
      <c r="I28" s="53"/>
    </row>
    <row r="29" spans="2:9" ht="17.25" customHeight="1" x14ac:dyDescent="0.25">
      <c r="B29" s="100"/>
      <c r="C29" s="90" t="s">
        <v>594</v>
      </c>
      <c r="D29" s="407"/>
      <c r="E29" s="129"/>
      <c r="F29" s="62"/>
      <c r="G29" s="63"/>
      <c r="H29" s="59"/>
      <c r="I29" s="53"/>
    </row>
    <row r="30" spans="2:9" x14ac:dyDescent="0.25">
      <c r="B30" s="100"/>
      <c r="C30" s="90"/>
      <c r="D30" s="407"/>
      <c r="E30" s="129"/>
      <c r="F30" s="62"/>
      <c r="G30" s="63"/>
      <c r="H30" s="59"/>
      <c r="I30" s="53"/>
    </row>
    <row r="31" spans="2:9" x14ac:dyDescent="0.25">
      <c r="B31" s="100"/>
      <c r="C31" s="387" t="s">
        <v>8</v>
      </c>
      <c r="D31" s="105"/>
      <c r="E31" s="129"/>
      <c r="F31" s="62"/>
      <c r="G31" s="63"/>
      <c r="H31" s="59"/>
      <c r="I31" s="53"/>
    </row>
    <row r="32" spans="2:9" x14ac:dyDescent="0.25">
      <c r="B32" s="100"/>
      <c r="C32" s="54" t="s">
        <v>595</v>
      </c>
      <c r="D32" s="103"/>
      <c r="E32" s="129"/>
      <c r="F32" s="62"/>
      <c r="G32" s="63"/>
      <c r="H32" s="59"/>
      <c r="I32" s="53"/>
    </row>
    <row r="33" spans="2:9" x14ac:dyDescent="0.25">
      <c r="B33" s="100"/>
      <c r="C33" s="54"/>
      <c r="D33" s="103"/>
      <c r="E33" s="110"/>
      <c r="F33" s="11"/>
      <c r="G33" s="52"/>
      <c r="I33" s="53"/>
    </row>
    <row r="34" spans="2:9" ht="35.25" customHeight="1" x14ac:dyDescent="0.25">
      <c r="B34" s="100"/>
      <c r="C34" s="421" t="s">
        <v>614</v>
      </c>
      <c r="D34" s="53"/>
      <c r="E34" s="110"/>
      <c r="F34" s="11"/>
      <c r="G34" s="52"/>
      <c r="I34" s="53"/>
    </row>
    <row r="35" spans="2:9" ht="30.6" customHeight="1" x14ac:dyDescent="0.25">
      <c r="B35" s="101"/>
      <c r="C35" s="419"/>
      <c r="D35" s="386"/>
      <c r="E35" s="111"/>
      <c r="F35" s="10"/>
      <c r="G35" s="114" t="s">
        <v>6</v>
      </c>
      <c r="H35" s="72" t="s">
        <v>5</v>
      </c>
      <c r="I35" s="69" t="s">
        <v>613</v>
      </c>
    </row>
    <row r="36" spans="2:9" ht="40.5" customHeight="1" x14ac:dyDescent="0.25">
      <c r="B36" s="88" t="s">
        <v>4</v>
      </c>
      <c r="C36" s="447" t="s">
        <v>605</v>
      </c>
      <c r="D36" s="448"/>
      <c r="E36" s="448"/>
      <c r="F36" s="448"/>
      <c r="G36" s="448"/>
      <c r="H36" s="448"/>
      <c r="I36" s="449"/>
    </row>
    <row r="37" spans="2:9" x14ac:dyDescent="0.25">
      <c r="B37" s="73"/>
      <c r="C37" s="441" t="s">
        <v>431</v>
      </c>
      <c r="D37" s="442"/>
      <c r="E37" s="441" t="s">
        <v>3</v>
      </c>
      <c r="F37" s="442"/>
      <c r="G37" s="442"/>
      <c r="H37" s="442"/>
      <c r="I37" s="443"/>
    </row>
    <row r="38" spans="2:9" x14ac:dyDescent="0.25">
      <c r="B38" s="25"/>
      <c r="C38" s="450"/>
      <c r="D38" s="451"/>
      <c r="E38" s="454"/>
      <c r="F38" s="455"/>
      <c r="G38" s="455"/>
      <c r="H38" s="455"/>
      <c r="I38" s="456"/>
    </row>
    <row r="39" spans="2:9" ht="31.9" customHeight="1" x14ac:dyDescent="0.25">
      <c r="B39" s="78" t="s">
        <v>2</v>
      </c>
      <c r="C39" s="452"/>
      <c r="D39" s="453"/>
      <c r="E39" s="457"/>
      <c r="F39" s="458"/>
      <c r="G39" s="458"/>
      <c r="H39" s="458"/>
      <c r="I39" s="459"/>
    </row>
    <row r="40" spans="2:9" x14ac:dyDescent="0.25">
      <c r="B40" s="413" t="s">
        <v>1</v>
      </c>
      <c r="C40" s="440" t="s">
        <v>611</v>
      </c>
      <c r="D40" s="440"/>
      <c r="E40" s="441" t="s">
        <v>600</v>
      </c>
      <c r="F40" s="442"/>
      <c r="G40" s="442"/>
      <c r="H40" s="442"/>
      <c r="I40" s="443"/>
    </row>
    <row r="41" spans="2:9" x14ac:dyDescent="0.25">
      <c r="B41" s="414" t="s">
        <v>0</v>
      </c>
      <c r="C41" s="444" t="s">
        <v>612</v>
      </c>
      <c r="D41" s="444"/>
      <c r="E41" s="445" t="s">
        <v>522</v>
      </c>
      <c r="F41" s="444"/>
      <c r="G41" s="444"/>
      <c r="H41" s="444"/>
      <c r="I41" s="446"/>
    </row>
  </sheetData>
  <mergeCells count="22">
    <mergeCell ref="C41:D41"/>
    <mergeCell ref="E41:I41"/>
    <mergeCell ref="C36:I36"/>
    <mergeCell ref="C37:D37"/>
    <mergeCell ref="E37:I37"/>
    <mergeCell ref="C38:D39"/>
    <mergeCell ref="E38:I39"/>
    <mergeCell ref="C18:D18"/>
    <mergeCell ref="C23:D23"/>
    <mergeCell ref="C26:D26"/>
    <mergeCell ref="C40:D40"/>
    <mergeCell ref="E40:I40"/>
    <mergeCell ref="C8:D8"/>
    <mergeCell ref="H8:I8"/>
    <mergeCell ref="C10:D11"/>
    <mergeCell ref="C13:D13"/>
    <mergeCell ref="C17:D17"/>
    <mergeCell ref="B1:I1"/>
    <mergeCell ref="B2:I2"/>
    <mergeCell ref="B3:I3"/>
    <mergeCell ref="B4:I4"/>
    <mergeCell ref="C6:E6"/>
  </mergeCells>
  <printOptions horizontalCentered="1"/>
  <pageMargins left="0.23622047244094499" right="0.23622047244094499" top="0.39173228300000001" bottom="0.24803149599999999" header="0.31496062992126" footer="0.31496062992126"/>
  <pageSetup paperSize="14" scale="6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Emblems,logos</vt:lpstr>
      <vt:lpstr>FC_AgendaFolders1 (2)</vt:lpstr>
      <vt:lpstr>TWG2025</vt:lpstr>
      <vt:lpstr>photo doc_FC (2)</vt:lpstr>
      <vt:lpstr>Talidhay (2)</vt:lpstr>
      <vt:lpstr>Talidhay</vt:lpstr>
      <vt:lpstr>TARP_GK_Awarding</vt:lpstr>
      <vt:lpstr>Decoration Services</vt:lpstr>
      <vt:lpstr>GK Awarding</vt:lpstr>
      <vt:lpstr>MidYear Assessment</vt:lpstr>
      <vt:lpstr>Meals for LDRRMP</vt:lpstr>
      <vt:lpstr>MEals for GK Field Validation</vt:lpstr>
      <vt:lpstr>Bulb</vt:lpstr>
      <vt:lpstr>APB_Meals</vt:lpstr>
      <vt:lpstr>TARP_GK1</vt:lpstr>
      <vt:lpstr>Zoom_Payment</vt:lpstr>
      <vt:lpstr>TARP_Full Council</vt:lpstr>
      <vt:lpstr>Hotline_Load</vt:lpstr>
      <vt:lpstr>Tarp_FC Meeting1 (2)</vt:lpstr>
      <vt:lpstr>Tarp_FC Meeting1</vt:lpstr>
      <vt:lpstr>Agenda folder_Full Council 2nd</vt:lpstr>
      <vt:lpstr>Agenda folder_Full Council</vt:lpstr>
      <vt:lpstr>Meals and snacks_FC2024</vt:lpstr>
      <vt:lpstr>GK Polo Shirt RSC</vt:lpstr>
      <vt:lpstr>GK Polo Shirt RVC</vt:lpstr>
      <vt:lpstr>GK_Polo Shirt</vt:lpstr>
      <vt:lpstr>Lease of Venue_GK Seal</vt:lpstr>
      <vt:lpstr>MEals for Mancom</vt:lpstr>
      <vt:lpstr>Meals for TWG</vt:lpstr>
      <vt:lpstr>Tokens for TWG</vt:lpstr>
      <vt:lpstr>Sheet2</vt:lpstr>
      <vt:lpstr>Meals and snacks_StaffMeeting</vt:lpstr>
      <vt:lpstr>Tarp_FC Meeting</vt:lpstr>
      <vt:lpstr>Lease of Venue_GK AwardingN (2)</vt:lpstr>
      <vt:lpstr>tALID-HAY Meals</vt:lpstr>
      <vt:lpstr>Meals and snacks_PSCP</vt:lpstr>
      <vt:lpstr>Meals and snacks_TWG</vt:lpstr>
      <vt:lpstr>Meals and snacks_FC</vt:lpstr>
      <vt:lpstr>Meals_OnlineEngagement2022EPA</vt:lpstr>
      <vt:lpstr>Meals and snacks_LDRRMP</vt:lpstr>
      <vt:lpstr>Meals and snacks_GK Final Delib</vt:lpstr>
      <vt:lpstr>Meals and snacks_GK AwardingNDR</vt:lpstr>
      <vt:lpstr>Proc of meals and snacks_SM</vt:lpstr>
      <vt:lpstr>LOAD__GK</vt:lpstr>
      <vt:lpstr>TARP_GK Regl Orien.Desktop Eval</vt:lpstr>
      <vt:lpstr>TARP_LDRRMP</vt:lpstr>
      <vt:lpstr>TARP_GK</vt:lpstr>
      <vt:lpstr>Agenda folder_Full Council 2ndQ</vt:lpstr>
      <vt:lpstr>photo doc_FC</vt:lpstr>
      <vt:lpstr>GK Seal_Review PlanSupplies</vt:lpstr>
      <vt:lpstr>GK Seal Awarding _ NDRM sUPPLIE</vt:lpstr>
      <vt:lpstr>GK Plaques</vt:lpstr>
      <vt:lpstr>GK Seal_Leis</vt:lpstr>
      <vt:lpstr>PETTY CASH_Supplies (2</vt:lpstr>
      <vt:lpstr>LDRRM Plan Review_Load</vt:lpstr>
      <vt:lpstr>Review PlanSupplies</vt:lpstr>
      <vt:lpstr>GK Jacket supplies</vt:lpstr>
      <vt:lpstr>Deco</vt:lpstr>
      <vt:lpstr>Lights and Sounds system</vt:lpstr>
      <vt:lpstr>Photo and Video</vt:lpstr>
      <vt:lpstr>NDRM Performers</vt:lpstr>
      <vt:lpstr>GK_Plaques_Leis</vt:lpstr>
      <vt:lpstr>GK Online Engagement_Supplies</vt:lpstr>
      <vt:lpstr>DRRM (2)</vt:lpstr>
      <vt:lpstr>'Agenda folder_Full Council'!Print_Area</vt:lpstr>
      <vt:lpstr>'Agenda folder_Full Council 2nd'!Print_Area</vt:lpstr>
      <vt:lpstr>'Agenda folder_Full Council 2ndQ'!Print_Area</vt:lpstr>
      <vt:lpstr>APB_Meals!Print_Area</vt:lpstr>
      <vt:lpstr>Bulb!Print_Area</vt:lpstr>
      <vt:lpstr>Deco!Print_Area</vt:lpstr>
      <vt:lpstr>'Decoration Services'!Print_Area</vt:lpstr>
      <vt:lpstr>'DRRM (2)'!Print_Area</vt:lpstr>
      <vt:lpstr>'Emblems,logos'!Print_Area</vt:lpstr>
      <vt:lpstr>'FC_AgendaFolders1 (2)'!Print_Area</vt:lpstr>
      <vt:lpstr>'GK Awarding'!Print_Area</vt:lpstr>
      <vt:lpstr>'GK Jacket supplies'!Print_Area</vt:lpstr>
      <vt:lpstr>'GK Plaques'!Print_Area</vt:lpstr>
      <vt:lpstr>'GK Polo Shirt RSC'!Print_Area</vt:lpstr>
      <vt:lpstr>'GK Polo Shirt RVC'!Print_Area</vt:lpstr>
      <vt:lpstr>'GK Seal Awarding _ NDRM sUPPLIE'!Print_Area</vt:lpstr>
      <vt:lpstr>'GK Seal_Leis'!Print_Area</vt:lpstr>
      <vt:lpstr>'GK Seal_Review PlanSupplies'!Print_Area</vt:lpstr>
      <vt:lpstr>GK_Plaques_Leis!Print_Area</vt:lpstr>
      <vt:lpstr>'GK_Polo Shirt'!Print_Area</vt:lpstr>
      <vt:lpstr>Hotline_Load!Print_Area</vt:lpstr>
      <vt:lpstr>'LDRRM Plan Review_Load'!Print_Area</vt:lpstr>
      <vt:lpstr>'Lease of Venue_GK AwardingN (2)'!Print_Area</vt:lpstr>
      <vt:lpstr>'Lease of Venue_GK Seal'!Print_Area</vt:lpstr>
      <vt:lpstr>'Lights and Sounds system'!Print_Area</vt:lpstr>
      <vt:lpstr>LOAD__GK!Print_Area</vt:lpstr>
      <vt:lpstr>'Meals and snacks_FC'!Print_Area</vt:lpstr>
      <vt:lpstr>'Meals and snacks_FC2024'!Print_Area</vt:lpstr>
      <vt:lpstr>'Meals and snacks_GK AwardingNDR'!Print_Area</vt:lpstr>
      <vt:lpstr>'Meals and snacks_GK Final Delib'!Print_Area</vt:lpstr>
      <vt:lpstr>'Meals and snacks_LDRRMP'!Print_Area</vt:lpstr>
      <vt:lpstr>'Meals and snacks_PSCP'!Print_Area</vt:lpstr>
      <vt:lpstr>'Meals and snacks_StaffMeeting'!Print_Area</vt:lpstr>
      <vt:lpstr>'Meals and snacks_TWG'!Print_Area</vt:lpstr>
      <vt:lpstr>'MEals for GK Field Validation'!Print_Area</vt:lpstr>
      <vt:lpstr>'Meals for LDRRMP'!Print_Area</vt:lpstr>
      <vt:lpstr>'MEals for Mancom'!Print_Area</vt:lpstr>
      <vt:lpstr>'Meals for TWG'!Print_Area</vt:lpstr>
      <vt:lpstr>Meals_OnlineEngagement2022EPA!Print_Area</vt:lpstr>
      <vt:lpstr>'MidYear Assessment'!Print_Area</vt:lpstr>
      <vt:lpstr>'NDRM Performers'!Print_Area</vt:lpstr>
      <vt:lpstr>'PETTY CASH_Supplies (2'!Print_Area</vt:lpstr>
      <vt:lpstr>'Photo and Video'!Print_Area</vt:lpstr>
      <vt:lpstr>'photo doc_FC'!Print_Area</vt:lpstr>
      <vt:lpstr>'photo doc_FC (2)'!Print_Area</vt:lpstr>
      <vt:lpstr>'Proc of meals and snacks_SM'!Print_Area</vt:lpstr>
      <vt:lpstr>'Review PlanSupplies'!Print_Area</vt:lpstr>
      <vt:lpstr>Talidhay!Print_Area</vt:lpstr>
      <vt:lpstr>'Talidhay (2)'!Print_Area</vt:lpstr>
      <vt:lpstr>'tALID-HAY Meals'!Print_Area</vt:lpstr>
      <vt:lpstr>'Tarp_FC Meeting'!Print_Area</vt:lpstr>
      <vt:lpstr>'Tarp_FC Meeting1'!Print_Area</vt:lpstr>
      <vt:lpstr>'Tarp_FC Meeting1 (2)'!Print_Area</vt:lpstr>
      <vt:lpstr>'TARP_Full Council'!Print_Area</vt:lpstr>
      <vt:lpstr>TARP_GK!Print_Area</vt:lpstr>
      <vt:lpstr>'TARP_GK Regl Orien.Desktop Eval'!Print_Area</vt:lpstr>
      <vt:lpstr>TARP_GK_Awarding!Print_Area</vt:lpstr>
      <vt:lpstr>TARP_GK1!Print_Area</vt:lpstr>
      <vt:lpstr>TARP_LDRRMP!Print_Area</vt:lpstr>
      <vt:lpstr>'Tokens for TWG'!Print_Area</vt:lpstr>
      <vt:lpstr>'TWG2025'!Print_Area</vt:lpstr>
      <vt:lpstr>Zoom_Payment!Print_Area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Losbanes</dc:creator>
  <cp:lastModifiedBy>OCD CARAGA</cp:lastModifiedBy>
  <cp:lastPrinted>2026-02-12T07:13:30Z</cp:lastPrinted>
  <dcterms:created xsi:type="dcterms:W3CDTF">2022-03-02T04:23:51Z</dcterms:created>
  <dcterms:modified xsi:type="dcterms:W3CDTF">2026-03-25T06:14:11Z</dcterms:modified>
</cp:coreProperties>
</file>